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vel Report Form" sheetId="1" r:id="rId4"/>
  </sheets>
</workbook>
</file>

<file path=xl/sharedStrings.xml><?xml version="1.0" encoding="utf-8"?>
<sst xmlns="http://schemas.openxmlformats.org/spreadsheetml/2006/main" uniqueCount="85">
  <si>
    <t>Washington University in St. Louis</t>
  </si>
  <si>
    <t>Faculty/Staff_</t>
  </si>
  <si>
    <t>WU Student_X_</t>
  </si>
  <si>
    <t>Res./Non-Res. Alien___</t>
  </si>
  <si>
    <t>Document #</t>
  </si>
  <si>
    <t xml:space="preserve"> Travel Expense Statement </t>
  </si>
  <si>
    <t>US Citizen___</t>
  </si>
  <si>
    <t>Consultant___</t>
  </si>
  <si>
    <t>Other___</t>
  </si>
  <si>
    <t>Empl. Or Stud. ID#/ Non-Empl. SSN#</t>
  </si>
  <si>
    <t>Student ID: 528424</t>
  </si>
  <si>
    <t>Name</t>
  </si>
  <si>
    <t>Jiazhen Shao</t>
  </si>
  <si>
    <r>
      <rPr>
        <sz val="11"/>
        <color indexed="8"/>
        <rFont val="Times New Roman"/>
      </rPr>
      <t xml:space="preserve">Destination </t>
    </r>
    <r>
      <rPr>
        <sz val="9"/>
        <color indexed="15"/>
        <rFont val="Times New Roman"/>
      </rPr>
      <t>(d)</t>
    </r>
  </si>
  <si>
    <t>Seattle</t>
  </si>
  <si>
    <t xml:space="preserve">Address/Campus Box </t>
  </si>
  <si>
    <t>5780 Westminster Pl, St. Louis, MO 63112</t>
  </si>
  <si>
    <t>Start Date</t>
  </si>
  <si>
    <t>End Date</t>
  </si>
  <si>
    <t>Purpose for trip</t>
  </si>
  <si>
    <t xml:space="preserve">Attend and present at the summer school: NNPSS (National Nuclear Physics Summer School) 2026 </t>
  </si>
  <si>
    <t>Date</t>
  </si>
  <si>
    <t>Total</t>
  </si>
  <si>
    <t>Actual Meal Costs:</t>
  </si>
  <si>
    <t>Breakfast</t>
  </si>
  <si>
    <t>Lunch</t>
  </si>
  <si>
    <t>Dinner</t>
  </si>
  <si>
    <t>Other or Non-Itemization of Meals &lt;$50</t>
  </si>
  <si>
    <t>Alcoholic Beverages (36-87)</t>
  </si>
  <si>
    <t>1a</t>
  </si>
  <si>
    <r>
      <rPr>
        <b val="1"/>
        <sz val="11"/>
        <color indexed="8"/>
        <rFont val="Times New Roman"/>
      </rPr>
      <t>Total Actual Meals (</t>
    </r>
    <r>
      <rPr>
        <b val="1"/>
        <sz val="9"/>
        <color indexed="8"/>
        <rFont val="Times New Roman"/>
      </rPr>
      <t>a</t>
    </r>
    <r>
      <rPr>
        <b val="1"/>
        <sz val="11"/>
        <color indexed="8"/>
        <rFont val="Times New Roman"/>
      </rPr>
      <t>)</t>
    </r>
  </si>
  <si>
    <t>1b</t>
  </si>
  <si>
    <r>
      <rPr>
        <sz val="11"/>
        <color indexed="8"/>
        <rFont val="Times New Roman"/>
      </rPr>
      <t>Meal and Incidental Exp Per Diem (</t>
    </r>
    <r>
      <rPr>
        <sz val="9"/>
        <color indexed="8"/>
        <rFont val="Times New Roman"/>
      </rPr>
      <t>a</t>
    </r>
    <r>
      <rPr>
        <sz val="11"/>
        <color indexed="8"/>
        <rFont val="Times New Roman"/>
      </rPr>
      <t>)</t>
    </r>
  </si>
  <si>
    <t>Airfare</t>
  </si>
  <si>
    <t>Lodging</t>
  </si>
  <si>
    <t>Automobile Rental / Gas</t>
  </si>
  <si>
    <t>Mileage</t>
  </si>
  <si>
    <t>Rate</t>
  </si>
  <si>
    <t>Miles</t>
  </si>
  <si>
    <t>Registration Fees (36-05)</t>
  </si>
  <si>
    <t>Ground Transportation / Parking</t>
  </si>
  <si>
    <t>Telephone / Internet</t>
  </si>
  <si>
    <r>
      <rPr>
        <sz val="11"/>
        <color indexed="8"/>
        <rFont val="Times New Roman"/>
      </rPr>
      <t xml:space="preserve">Tips </t>
    </r>
    <r>
      <rPr>
        <sz val="9"/>
        <color indexed="8"/>
        <rFont val="Times New Roman"/>
      </rPr>
      <t>(exclude tips included with line 1 &amp; 10)</t>
    </r>
  </si>
  <si>
    <r>
      <rPr>
        <sz val="11"/>
        <color indexed="8"/>
        <rFont val="Times New Roman"/>
      </rPr>
      <t xml:space="preserve">Entertainment/Bus Exp. (35-53) </t>
    </r>
    <r>
      <rPr>
        <sz val="9"/>
        <color indexed="8"/>
        <rFont val="Times New Roman"/>
      </rPr>
      <t>(b)</t>
    </r>
  </si>
  <si>
    <t>Other Travel (36-87)</t>
  </si>
  <si>
    <t>EXPENSES BY ACCOUNT</t>
  </si>
  <si>
    <t>Total Expenses</t>
  </si>
  <si>
    <t>AMOUNT</t>
  </si>
  <si>
    <t>LC</t>
  </si>
  <si>
    <t>DEPT</t>
  </si>
  <si>
    <t>BUOB</t>
  </si>
  <si>
    <t>SR CODE</t>
  </si>
  <si>
    <t>FUND</t>
  </si>
  <si>
    <t>Less Non-WU Reimbursement</t>
  </si>
  <si>
    <t>Subtotal</t>
  </si>
  <si>
    <t>Department Limit (if applicable)</t>
  </si>
  <si>
    <t>Less:</t>
  </si>
  <si>
    <t>TA # &amp; Amount</t>
  </si>
  <si>
    <t>CR # &amp; Amount</t>
  </si>
  <si>
    <t>Other Reimbursement Amount</t>
  </si>
  <si>
    <r>
      <rPr>
        <sz val="11"/>
        <color indexed="8"/>
        <rFont val="Times New Roman"/>
      </rPr>
      <t xml:space="preserve">Travel Expenses Paid for by the procurement card </t>
    </r>
    <r>
      <rPr>
        <sz val="9"/>
        <color indexed="8"/>
        <rFont val="Times New Roman"/>
      </rPr>
      <t>(c)</t>
    </r>
  </si>
  <si>
    <t>Check Sum</t>
  </si>
  <si>
    <t>I owe Washington University</t>
  </si>
  <si>
    <t>Washington University owes me</t>
  </si>
  <si>
    <t>Signature and Approval</t>
  </si>
  <si>
    <t>Remarks (not printed on check)</t>
  </si>
  <si>
    <t>Signatures certify that costs incurred for the trip comply with all aspects of the Travel Policy</t>
  </si>
  <si>
    <t>Southwest receipt attached — confirmation BBUAZZ</t>
  </si>
  <si>
    <t>and/or any sponsoring agency requirements, if applicable.</t>
  </si>
  <si>
    <t>Purchased 05/18/26. Receipt total $954.60: base airfare and taxes $806.60, extra-legroom seat $78, and preferred-seat fee $70. Reimbursement requested: $806.60. The $148 seat fees are excluded pending department approval/non-sponsored funding. Payment: $757.41 Mastercard and $197.19 flight credits. Department/project worktags pending confirmation.</t>
  </si>
  <si>
    <t>X</t>
  </si>
  <si>
    <t xml:space="preserve">  By checking this box, I certify this non-USA trip was entered in MyTrips.</t>
  </si>
  <si>
    <t>Jiazhen Shao                                                                                             8/2/26</t>
  </si>
  <si>
    <t xml:space="preserve">Traveler's Signature                                                  </t>
  </si>
  <si>
    <t xml:space="preserve">Approval Signature                                                    </t>
  </si>
  <si>
    <t>Exception Approval Explanation</t>
  </si>
  <si>
    <t>Approval Printed Name and Title</t>
  </si>
  <si>
    <t xml:space="preserve">Exception Approval Signature                                    </t>
  </si>
  <si>
    <t>Exception Approval Printed Name and Title</t>
  </si>
  <si>
    <t xml:space="preserve">a) Meals, including tip and taxes greater than $50 per day must be split out by Breakfast, Lunch, and Dinner.  Alcoholic beverages must always be split out.  Not required when claiming M&amp;IE per diem. </t>
  </si>
  <si>
    <t xml:space="preserve">   Recommend using the M&amp;IE per diem supplemental worksheet when traveling to multiple cities in the same trip.</t>
  </si>
  <si>
    <t>b) Includes alcohol associated with Entertainment/Bus Exp.</t>
  </si>
  <si>
    <t>Last Updated 3/15/18</t>
  </si>
  <si>
    <t>c) Recommend using the procurement card expenses supplemental worksheet to provide expense details.</t>
  </si>
  <si>
    <t>d) Non-USA destinations must be entered in MyTrips.</t>
  </si>
</sst>
</file>

<file path=xl/styles.xml><?xml version="1.0" encoding="utf-8"?>
<styleSheet xmlns="http://schemas.openxmlformats.org/spreadsheetml/2006/main">
  <numFmts count="7">
    <numFmt numFmtId="0" formatCode="General"/>
    <numFmt numFmtId="59" formatCode="000000"/>
    <numFmt numFmtId="60" formatCode="mm/dd/yy"/>
    <numFmt numFmtId="61" formatCode="#,##0.00&quot; &quot;;(#,##0.00)"/>
    <numFmt numFmtId="62" formatCode="&quot; &quot;* #,##0.00&quot; &quot;;&quot; &quot;* (#,##0.00);&quot; &quot;* &quot;-&quot;??&quot; &quot;"/>
    <numFmt numFmtId="63" formatCode="0.000"/>
    <numFmt numFmtId="64" formatCode="0000"/>
  </numFmts>
  <fonts count="1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Times New Roman"/>
    </font>
    <font>
      <sz val="11"/>
      <color indexed="8"/>
      <name val="Times New Roman"/>
    </font>
    <font>
      <b val="1"/>
      <sz val="12"/>
      <color indexed="8"/>
      <name val="Times New Roman"/>
    </font>
    <font>
      <sz val="9"/>
      <color indexed="8"/>
      <name val="Times New Roman"/>
    </font>
    <font>
      <sz val="9"/>
      <color indexed="15"/>
      <name val="Times New Roman"/>
    </font>
    <font>
      <b val="1"/>
      <sz val="11"/>
      <color indexed="8"/>
      <name val="Times New Roman"/>
    </font>
    <font>
      <b val="1"/>
      <sz val="9"/>
      <color indexed="8"/>
      <name val="Times New Roman"/>
    </font>
    <font>
      <sz val="11"/>
      <color indexed="15"/>
      <name val="Times New Roman"/>
    </font>
    <font>
      <sz val="8"/>
      <color indexed="8"/>
      <name val="Times New Roman"/>
    </font>
    <font>
      <sz val="10"/>
      <color indexed="8"/>
      <name val="Times New Roman"/>
    </font>
    <font>
      <b val="1"/>
      <i val="1"/>
      <sz val="11"/>
      <color indexed="8"/>
      <name val="Times New Roman"/>
    </font>
    <font>
      <b val="1"/>
      <sz val="10"/>
      <color indexed="15"/>
      <name val="Times New Roman"/>
    </font>
    <font>
      <sz val="8"/>
      <color indexed="15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0"/>
      </right>
      <top style="thin">
        <color indexed="11"/>
      </top>
      <bottom style="thin">
        <color indexed="11"/>
      </bottom>
      <diagonal/>
    </border>
    <border>
      <left/>
      <right style="thin">
        <color indexed="13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0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0"/>
      </top>
      <bottom style="thin">
        <color indexed="11"/>
      </bottom>
      <diagonal/>
    </border>
    <border>
      <left style="thin">
        <color indexed="14"/>
      </left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 style="thin">
        <color indexed="11"/>
      </right>
      <top style="thin">
        <color indexed="14"/>
      </top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 style="thin">
        <color indexed="11"/>
      </right>
      <top/>
      <bottom style="thin">
        <color indexed="14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1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8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/>
      <bottom style="medium">
        <color indexed="8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4"/>
      </bottom>
      <diagonal/>
    </border>
    <border>
      <left style="medium">
        <color indexed="8"/>
      </left>
      <right/>
      <top style="thin">
        <color indexed="14"/>
      </top>
      <bottom style="thin">
        <color indexed="14"/>
      </bottom>
      <diagonal/>
    </border>
    <border>
      <left style="thin">
        <color indexed="13"/>
      </left>
      <right/>
      <top style="thin">
        <color indexed="14"/>
      </top>
      <bottom style="thin">
        <color indexed="14"/>
      </bottom>
      <diagonal/>
    </border>
    <border>
      <left/>
      <right style="thin">
        <color indexed="14"/>
      </right>
      <top/>
      <bottom/>
      <diagonal/>
    </border>
    <border>
      <left style="thin">
        <color indexed="13"/>
      </left>
      <right/>
      <top style="thin">
        <color indexed="14"/>
      </top>
      <bottom/>
      <diagonal/>
    </border>
    <border>
      <left style="thin">
        <color indexed="13"/>
      </left>
      <right/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top"/>
    </xf>
    <xf numFmtId="0" fontId="3" fillId="2" borderId="2" applyNumberFormat="0" applyFont="1" applyFill="1" applyBorder="1" applyAlignment="1" applyProtection="0">
      <alignment horizontal="left" vertical="top"/>
    </xf>
    <xf numFmtId="49" fontId="0" fillId="2" borderId="2" applyNumberFormat="1" applyFont="1" applyFill="1" applyBorder="1" applyAlignment="1" applyProtection="0">
      <alignment vertical="bottom"/>
    </xf>
    <xf numFmtId="0" fontId="4" fillId="2" borderId="2" applyNumberFormat="0" applyFont="1" applyFill="1" applyBorder="1" applyAlignment="1" applyProtection="0">
      <alignment vertical="top"/>
    </xf>
    <xf numFmtId="49" fontId="4" fillId="2" borderId="3" applyNumberFormat="1" applyFont="1" applyFill="1" applyBorder="1" applyAlignment="1" applyProtection="0">
      <alignment vertical="top"/>
    </xf>
    <xf numFmtId="59" fontId="4" fillId="3" borderId="4" applyNumberFormat="1" applyFont="1" applyFill="1" applyBorder="1" applyAlignment="1" applyProtection="0">
      <alignment horizontal="left" vertical="top"/>
    </xf>
    <xf numFmtId="0" fontId="0" fillId="2" borderId="5" applyNumberFormat="0" applyFont="1" applyFill="1" applyBorder="1" applyAlignment="1" applyProtection="0">
      <alignment horizontal="left" vertical="top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5" fillId="2" borderId="8" applyNumberFormat="1" applyFont="1" applyFill="1" applyBorder="1" applyAlignment="1" applyProtection="0">
      <alignment horizontal="left" vertical="top"/>
    </xf>
    <xf numFmtId="0" fontId="5" fillId="2" borderId="9" applyNumberFormat="0" applyFont="1" applyFill="1" applyBorder="1" applyAlignment="1" applyProtection="0">
      <alignment horizontal="center" vertical="top"/>
    </xf>
    <xf numFmtId="49" fontId="0" fillId="2" borderId="9" applyNumberFormat="1" applyFont="1" applyFill="1" applyBorder="1" applyAlignment="1" applyProtection="0">
      <alignment vertical="bottom"/>
    </xf>
    <xf numFmtId="0" fontId="6" fillId="2" borderId="9" applyNumberFormat="0" applyFont="1" applyFill="1" applyBorder="1" applyAlignment="1" applyProtection="0">
      <alignment horizontal="center" vertical="top"/>
    </xf>
    <xf numFmtId="49" fontId="6" fillId="2" borderId="10" applyNumberFormat="1" applyFont="1" applyFill="1" applyBorder="1" applyAlignment="1" applyProtection="0">
      <alignment horizontal="right" vertical="top"/>
    </xf>
    <xf numFmtId="49" fontId="4" fillId="3" borderId="11" applyNumberFormat="1" applyFont="1" applyFill="1" applyBorder="1" applyAlignment="1" applyProtection="0">
      <alignment horizontal="left" vertical="top"/>
    </xf>
    <xf numFmtId="0" fontId="0" fillId="2" borderId="12" applyNumberFormat="0" applyFont="1" applyFill="1" applyBorder="1" applyAlignment="1" applyProtection="0">
      <alignment horizontal="left" vertical="top"/>
    </xf>
    <xf numFmtId="0" fontId="0" fillId="2" borderId="8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6" fillId="2" borderId="15" applyNumberFormat="0" applyFont="1" applyFill="1" applyBorder="1" applyAlignment="1" applyProtection="0">
      <alignment horizontal="center" vertical="top"/>
    </xf>
    <xf numFmtId="0" fontId="6" fillId="2" borderId="16" applyNumberFormat="0" applyFont="1" applyFill="1" applyBorder="1" applyAlignment="1" applyProtection="0">
      <alignment horizontal="center" vertical="top"/>
    </xf>
    <xf numFmtId="0" fontId="6" fillId="2" borderId="17" applyNumberFormat="0" applyFont="1" applyFill="1" applyBorder="1" applyAlignment="1" applyProtection="0">
      <alignment horizontal="center" vertical="top"/>
    </xf>
    <xf numFmtId="49" fontId="4" fillId="2" borderId="18" applyNumberFormat="1" applyFont="1" applyFill="1" applyBorder="1" applyAlignment="1" applyProtection="0">
      <alignment horizontal="left" vertical="bottom"/>
    </xf>
    <xf numFmtId="0" fontId="0" fillId="2" borderId="18" applyNumberFormat="0" applyFont="1" applyFill="1" applyBorder="1" applyAlignment="1" applyProtection="0">
      <alignment vertical="bottom"/>
    </xf>
    <xf numFmtId="49" fontId="4" fillId="3" borderId="19" applyNumberFormat="1" applyFont="1" applyFill="1" applyBorder="1" applyAlignment="1" applyProtection="0">
      <alignment horizontal="left" vertical="bottom"/>
    </xf>
    <xf numFmtId="49" fontId="4" fillId="2" borderId="19" applyNumberFormat="1" applyFont="1" applyFill="1" applyBorder="1" applyAlignment="1" applyProtection="0">
      <alignment horizontal="left" vertical="bottom"/>
    </xf>
    <xf numFmtId="0" fontId="0" fillId="2" borderId="20" applyNumberFormat="0" applyFont="1" applyFill="1" applyBorder="1" applyAlignment="1" applyProtection="0">
      <alignment vertical="bottom"/>
    </xf>
    <xf numFmtId="49" fontId="4" fillId="2" borderId="21" applyNumberFormat="1" applyFont="1" applyFill="1" applyBorder="1" applyAlignment="1" applyProtection="0">
      <alignment horizontal="left" vertical="center"/>
    </xf>
    <xf numFmtId="0" fontId="0" fillId="2" borderId="22" applyNumberFormat="0" applyFont="1" applyFill="1" applyBorder="1" applyAlignment="1" applyProtection="0">
      <alignment vertical="center"/>
    </xf>
    <xf numFmtId="49" fontId="4" fillId="3" borderId="11" applyNumberFormat="1" applyFont="1" applyFill="1" applyBorder="1" applyAlignment="1" applyProtection="0">
      <alignment horizontal="left" vertical="bottom"/>
    </xf>
    <xf numFmtId="0" fontId="0" fillId="2" borderId="23" applyNumberFormat="0" applyFont="1" applyFill="1" applyBorder="1" applyAlignment="1" applyProtection="0">
      <alignment horizontal="left" vertical="bottom"/>
    </xf>
    <xf numFmtId="0" fontId="0" fillId="2" borderId="24" applyNumberFormat="0" applyFont="1" applyFill="1" applyBorder="1" applyAlignment="1" applyProtection="0">
      <alignment horizontal="left" vertical="bottom"/>
    </xf>
    <xf numFmtId="49" fontId="0" fillId="2" borderId="25" applyNumberFormat="1" applyFont="1" applyFill="1" applyBorder="1" applyAlignment="1" applyProtection="0">
      <alignment vertical="center"/>
    </xf>
    <xf numFmtId="60" fontId="0" fillId="3" borderId="25" applyNumberFormat="1" applyFont="1" applyFill="1" applyBorder="1" applyAlignment="1" applyProtection="0">
      <alignment vertical="center"/>
    </xf>
    <xf numFmtId="0" fontId="0" fillId="2" borderId="26" applyNumberFormat="0" applyFont="1" applyFill="1" applyBorder="1" applyAlignment="1" applyProtection="0">
      <alignment vertical="bottom"/>
    </xf>
    <xf numFmtId="0" fontId="0" fillId="2" borderId="27" applyNumberFormat="0" applyFont="1" applyFill="1" applyBorder="1" applyAlignment="1" applyProtection="0">
      <alignment vertical="center"/>
    </xf>
    <xf numFmtId="0" fontId="0" fillId="2" borderId="28" applyNumberFormat="0" applyFont="1" applyFill="1" applyBorder="1" applyAlignment="1" applyProtection="0">
      <alignment vertical="center"/>
    </xf>
    <xf numFmtId="0" fontId="0" fillId="2" borderId="29" applyNumberFormat="0" applyFont="1" applyFill="1" applyBorder="1" applyAlignment="1" applyProtection="0">
      <alignment vertical="center"/>
    </xf>
    <xf numFmtId="60" fontId="0" fillId="2" borderId="29" applyNumberFormat="1" applyFont="1" applyFill="1" applyBorder="1" applyAlignment="1" applyProtection="0">
      <alignment vertical="center"/>
    </xf>
    <xf numFmtId="0" fontId="0" fillId="2" borderId="30" applyNumberFormat="0" applyFont="1" applyFill="1" applyBorder="1" applyAlignment="1" applyProtection="0">
      <alignment vertical="center"/>
    </xf>
    <xf numFmtId="60" fontId="0" fillId="2" borderId="30" applyNumberFormat="1" applyFont="1" applyFill="1" applyBorder="1" applyAlignment="1" applyProtection="0">
      <alignment vertical="center"/>
    </xf>
    <xf numFmtId="49" fontId="0" fillId="2" borderId="31" applyNumberFormat="1" applyFont="1" applyFill="1" applyBorder="1" applyAlignment="1" applyProtection="0">
      <alignment vertical="bottom"/>
    </xf>
    <xf numFmtId="0" fontId="0" fillId="2" borderId="31" applyNumberFormat="0" applyFont="1" applyFill="1" applyBorder="1" applyAlignment="1" applyProtection="0">
      <alignment vertical="bottom"/>
    </xf>
    <xf numFmtId="49" fontId="4" fillId="3" borderId="32" applyNumberFormat="1" applyFont="1" applyFill="1" applyBorder="1" applyAlignment="1" applyProtection="0">
      <alignment horizontal="left" vertical="bottom"/>
    </xf>
    <xf numFmtId="49" fontId="4" fillId="3" borderId="31" applyNumberFormat="1" applyFont="1" applyFill="1" applyBorder="1" applyAlignment="1" applyProtection="0">
      <alignment horizontal="left" vertical="bottom"/>
    </xf>
    <xf numFmtId="0" fontId="0" fillId="2" borderId="33" applyNumberFormat="0" applyFont="1" applyFill="1" applyBorder="1" applyAlignment="1" applyProtection="0">
      <alignment vertical="bottom"/>
    </xf>
    <xf numFmtId="0" fontId="0" fillId="2" borderId="34" applyNumberFormat="0" applyFont="1" applyFill="1" applyBorder="1" applyAlignment="1" applyProtection="0">
      <alignment vertical="bottom"/>
    </xf>
    <xf numFmtId="0" fontId="0" fillId="2" borderId="35" applyNumberFormat="0" applyFont="1" applyFill="1" applyBorder="1" applyAlignment="1" applyProtection="0">
      <alignment vertical="bottom"/>
    </xf>
    <xf numFmtId="49" fontId="4" fillId="2" borderId="31" applyNumberFormat="1" applyFont="1" applyFill="1" applyBorder="1" applyAlignment="1" applyProtection="0">
      <alignment horizontal="center" vertical="top"/>
    </xf>
    <xf numFmtId="49" fontId="4" fillId="2" borderId="36" applyNumberFormat="1" applyFont="1" applyFill="1" applyBorder="1" applyAlignment="1" applyProtection="0">
      <alignment horizontal="center" vertical="top"/>
    </xf>
    <xf numFmtId="0" fontId="0" fillId="2" borderId="37" applyNumberFormat="0" applyFont="1" applyFill="1" applyBorder="1" applyAlignment="1" applyProtection="0">
      <alignment vertical="bottom"/>
    </xf>
    <xf numFmtId="49" fontId="4" fillId="2" borderId="33" applyNumberFormat="1" applyFont="1" applyFill="1" applyBorder="1" applyAlignment="1" applyProtection="0">
      <alignment horizontal="left" vertical="top"/>
    </xf>
    <xf numFmtId="0" fontId="4" fillId="2" borderId="34" applyNumberFormat="0" applyFont="1" applyFill="1" applyBorder="1" applyAlignment="1" applyProtection="0">
      <alignment horizontal="left" vertical="top"/>
    </xf>
    <xf numFmtId="0" fontId="4" fillId="2" borderId="35" applyNumberFormat="0" applyFont="1" applyFill="1" applyBorder="1" applyAlignment="1" applyProtection="0">
      <alignment horizontal="left" vertical="top"/>
    </xf>
    <xf numFmtId="60" fontId="4" fillId="3" borderId="31" applyNumberFormat="1" applyFont="1" applyFill="1" applyBorder="1" applyAlignment="1" applyProtection="0">
      <alignment horizontal="center" vertical="bottom"/>
    </xf>
    <xf numFmtId="60" fontId="4" fillId="2" borderId="31" applyNumberFormat="1" applyFont="1" applyFill="1" applyBorder="1" applyAlignment="1" applyProtection="0">
      <alignment horizontal="center" vertical="top"/>
    </xf>
    <xf numFmtId="49" fontId="4" fillId="2" borderId="33" applyNumberFormat="1" applyFont="1" applyFill="1" applyBorder="1" applyAlignment="1" applyProtection="0">
      <alignment horizontal="left" vertical="bottom"/>
    </xf>
    <xf numFmtId="0" fontId="4" fillId="2" borderId="34" applyNumberFormat="0" applyFont="1" applyFill="1" applyBorder="1" applyAlignment="1" applyProtection="0">
      <alignment horizontal="left" vertical="bottom"/>
    </xf>
    <xf numFmtId="0" fontId="4" fillId="2" borderId="35" applyNumberFormat="0" applyFont="1" applyFill="1" applyBorder="1" applyAlignment="1" applyProtection="0">
      <alignment horizontal="left" vertical="bottom"/>
    </xf>
    <xf numFmtId="4" fontId="4" fillId="3" borderId="31" applyNumberFormat="1" applyFont="1" applyFill="1" applyBorder="1" applyAlignment="1" applyProtection="0">
      <alignment horizontal="right" vertical="bottom"/>
    </xf>
    <xf numFmtId="49" fontId="8" fillId="2" borderId="31" applyNumberFormat="1" applyFont="1" applyFill="1" applyBorder="1" applyAlignment="1" applyProtection="0">
      <alignment horizontal="left" vertical="bottom"/>
    </xf>
    <xf numFmtId="0" fontId="8" fillId="2" borderId="31" applyNumberFormat="0" applyFont="1" applyFill="1" applyBorder="1" applyAlignment="1" applyProtection="0">
      <alignment horizontal="left" vertical="bottom"/>
    </xf>
    <xf numFmtId="61" fontId="4" fillId="2" borderId="31" applyNumberFormat="1" applyFont="1" applyFill="1" applyBorder="1" applyAlignment="1" applyProtection="0">
      <alignment horizontal="right" vertical="bottom"/>
    </xf>
    <xf numFmtId="49" fontId="4" fillId="2" borderId="31" applyNumberFormat="1" applyFont="1" applyFill="1" applyBorder="1" applyAlignment="1" applyProtection="0">
      <alignment horizontal="left" vertical="bottom"/>
    </xf>
    <xf numFmtId="0" fontId="4" fillId="2" borderId="31" applyNumberFormat="0" applyFont="1" applyFill="1" applyBorder="1" applyAlignment="1" applyProtection="0">
      <alignment horizontal="left" vertical="bottom"/>
    </xf>
    <xf numFmtId="62" fontId="4" fillId="3" borderId="31" applyNumberFormat="1" applyFont="1" applyFill="1" applyBorder="1" applyAlignment="1" applyProtection="0">
      <alignment horizontal="right" vertical="bottom"/>
    </xf>
    <xf numFmtId="0" fontId="4" fillId="2" borderId="31" applyNumberFormat="1" applyFont="1" applyFill="1" applyBorder="1" applyAlignment="1" applyProtection="0">
      <alignment vertical="bottom"/>
    </xf>
    <xf numFmtId="4" fontId="0" fillId="3" borderId="31" applyNumberFormat="1" applyFont="1" applyFill="1" applyBorder="1" applyAlignment="1" applyProtection="0">
      <alignment horizontal="right" vertical="bottom"/>
    </xf>
    <xf numFmtId="0" fontId="0" fillId="2" borderId="31" applyNumberFormat="1" applyFont="1" applyFill="1" applyBorder="1" applyAlignment="1" applyProtection="0">
      <alignment vertical="bottom"/>
    </xf>
    <xf numFmtId="49" fontId="0" fillId="2" borderId="33" applyNumberFormat="1" applyFont="1" applyFill="1" applyBorder="1" applyAlignment="1" applyProtection="0">
      <alignment vertical="bottom"/>
    </xf>
    <xf numFmtId="0" fontId="0" fillId="2" borderId="38" applyNumberFormat="1" applyFont="1" applyFill="1" applyBorder="1" applyAlignment="1" applyProtection="0">
      <alignment vertical="bottom"/>
    </xf>
    <xf numFmtId="49" fontId="4" fillId="2" borderId="31" applyNumberFormat="1" applyFont="1" applyFill="1" applyBorder="1" applyAlignment="1" applyProtection="0">
      <alignment horizontal="left" vertical="center"/>
    </xf>
    <xf numFmtId="0" fontId="4" fillId="2" borderId="31" applyNumberFormat="0" applyFont="1" applyFill="1" applyBorder="1" applyAlignment="1" applyProtection="0">
      <alignment horizontal="left" vertical="center"/>
    </xf>
    <xf numFmtId="63" fontId="4" fillId="3" borderId="31" applyNumberFormat="1" applyFont="1" applyFill="1" applyBorder="1" applyAlignment="1" applyProtection="0">
      <alignment horizontal="center" vertical="center"/>
    </xf>
    <xf numFmtId="61" fontId="0" fillId="3" borderId="31" applyNumberFormat="1" applyFont="1" applyFill="1" applyBorder="1" applyAlignment="1" applyProtection="0">
      <alignment vertical="center"/>
    </xf>
    <xf numFmtId="62" fontId="10" fillId="2" borderId="31" applyNumberFormat="1" applyFont="1" applyFill="1" applyBorder="1" applyAlignment="1" applyProtection="0">
      <alignment horizontal="center" vertical="center"/>
    </xf>
    <xf numFmtId="61" fontId="4" fillId="2" borderId="38" applyNumberFormat="1" applyFont="1" applyFill="1" applyBorder="1" applyAlignment="1" applyProtection="0">
      <alignment horizontal="right" vertical="bottom"/>
    </xf>
    <xf numFmtId="0" fontId="4" fillId="2" borderId="39" applyNumberFormat="0" applyFont="1" applyFill="1" applyBorder="1" applyAlignment="1" applyProtection="0">
      <alignment vertical="bottom"/>
    </xf>
    <xf numFmtId="49" fontId="11" fillId="2" borderId="31" applyNumberFormat="1" applyFont="1" applyFill="1" applyBorder="1" applyAlignment="1" applyProtection="0">
      <alignment horizontal="center" vertical="center"/>
    </xf>
    <xf numFmtId="61" fontId="4" fillId="2" borderId="39" applyNumberFormat="1" applyFont="1" applyFill="1" applyBorder="1" applyAlignment="1" applyProtection="0">
      <alignment horizontal="right" vertical="top"/>
    </xf>
    <xf numFmtId="62" fontId="0" fillId="3" borderId="31" applyNumberFormat="1" applyFont="1" applyFill="1" applyBorder="1" applyAlignment="1" applyProtection="0">
      <alignment vertical="bottom"/>
    </xf>
    <xf numFmtId="61" fontId="0" fillId="2" borderId="20" applyNumberFormat="1" applyFont="1" applyFill="1" applyBorder="1" applyAlignment="1" applyProtection="0">
      <alignment vertical="bottom"/>
    </xf>
    <xf numFmtId="49" fontId="4" fillId="2" borderId="31" applyNumberFormat="1" applyFont="1" applyFill="1" applyBorder="1" applyAlignment="1" applyProtection="0">
      <alignment horizontal="center" vertical="bottom"/>
    </xf>
    <xf numFmtId="0" fontId="4" fillId="2" borderId="31" applyNumberFormat="0" applyFont="1" applyFill="1" applyBorder="1" applyAlignment="1" applyProtection="0">
      <alignment horizontal="center" vertical="bottom"/>
    </xf>
    <xf numFmtId="49" fontId="12" fillId="2" borderId="31" applyNumberFormat="1" applyFont="1" applyFill="1" applyBorder="1" applyAlignment="1" applyProtection="0">
      <alignment horizontal="center" vertical="bottom"/>
    </xf>
    <xf numFmtId="4" fontId="0" fillId="3" borderId="31" applyNumberFormat="1" applyFont="1" applyFill="1" applyBorder="1" applyAlignment="1" applyProtection="0">
      <alignment vertical="bottom"/>
    </xf>
    <xf numFmtId="0" fontId="4" fillId="3" borderId="31" applyNumberFormat="0" applyFont="1" applyFill="1" applyBorder="1" applyAlignment="1" applyProtection="0">
      <alignment horizontal="center" vertical="bottom"/>
    </xf>
    <xf numFmtId="64" fontId="4" fillId="3" borderId="31" applyNumberFormat="1" applyFont="1" applyFill="1" applyBorder="1" applyAlignment="1" applyProtection="0">
      <alignment horizontal="center" vertical="bottom"/>
    </xf>
    <xf numFmtId="49" fontId="4" fillId="2" borderId="31" applyNumberFormat="1" applyFont="1" applyFill="1" applyBorder="1" applyAlignment="1" applyProtection="0">
      <alignment horizontal="right" vertical="bottom"/>
    </xf>
    <xf numFmtId="0" fontId="4" fillId="2" borderId="31" applyNumberFormat="0" applyFont="1" applyFill="1" applyBorder="1" applyAlignment="1" applyProtection="0">
      <alignment horizontal="right" vertical="bottom"/>
    </xf>
    <xf numFmtId="64" fontId="4" fillId="3" borderId="31" applyNumberFormat="1" applyFont="1" applyFill="1" applyBorder="1" applyAlignment="1" applyProtection="0">
      <alignment horizontal="left" vertical="bottom"/>
    </xf>
    <xf numFmtId="64" fontId="4" fillId="3" borderId="33" applyNumberFormat="1" applyFont="1" applyFill="1" applyBorder="1" applyAlignment="1" applyProtection="0">
      <alignment horizontal="left" vertical="bottom"/>
    </xf>
    <xf numFmtId="64" fontId="4" fillId="3" borderId="35" applyNumberFormat="1" applyFont="1" applyFill="1" applyBorder="1" applyAlignment="1" applyProtection="0">
      <alignment horizontal="left" vertical="bottom"/>
    </xf>
    <xf numFmtId="0" fontId="4" fillId="2" borderId="35" applyNumberFormat="0" applyFont="1" applyFill="1" applyBorder="1" applyAlignment="1" applyProtection="0">
      <alignment horizontal="right" vertical="bottom"/>
    </xf>
    <xf numFmtId="0" fontId="0" fillId="2" borderId="34" applyNumberFormat="0" applyFont="1" applyFill="1" applyBorder="1" applyAlignment="1" applyProtection="0">
      <alignment horizontal="left" vertical="bottom"/>
    </xf>
    <xf numFmtId="0" fontId="0" fillId="2" borderId="35" applyNumberFormat="0" applyFont="1" applyFill="1" applyBorder="1" applyAlignment="1" applyProtection="0">
      <alignment horizontal="left" vertical="bottom"/>
    </xf>
    <xf numFmtId="49" fontId="8" fillId="2" borderId="31" applyNumberFormat="1" applyFont="1" applyFill="1" applyBorder="1" applyAlignment="1" applyProtection="0">
      <alignment horizontal="center" vertical="bottom"/>
    </xf>
    <xf numFmtId="0" fontId="8" fillId="2" borderId="31" applyNumberFormat="0" applyFont="1" applyFill="1" applyBorder="1" applyAlignment="1" applyProtection="0">
      <alignment horizontal="center" vertical="bottom"/>
    </xf>
    <xf numFmtId="4" fontId="0" fillId="2" borderId="13" applyNumberFormat="1" applyFont="1" applyFill="1" applyBorder="1" applyAlignment="1" applyProtection="0">
      <alignment vertical="bottom"/>
    </xf>
    <xf numFmtId="0" fontId="10" fillId="2" borderId="20" applyNumberFormat="0" applyFont="1" applyFill="1" applyBorder="1" applyAlignment="1" applyProtection="0">
      <alignment vertical="bottom"/>
    </xf>
    <xf numFmtId="49" fontId="9" fillId="2" borderId="31" applyNumberFormat="1" applyFont="1" applyFill="1" applyBorder="1" applyAlignment="1" applyProtection="0">
      <alignment horizontal="center" vertical="bottom"/>
    </xf>
    <xf numFmtId="0" fontId="9" fillId="2" borderId="31" applyNumberFormat="0" applyFont="1" applyFill="1" applyBorder="1" applyAlignment="1" applyProtection="0">
      <alignment horizontal="center" vertical="bottom"/>
    </xf>
    <xf numFmtId="49" fontId="9" fillId="2" borderId="33" applyNumberFormat="1" applyFont="1" applyFill="1" applyBorder="1" applyAlignment="1" applyProtection="0">
      <alignment horizontal="left" vertical="bottom"/>
    </xf>
    <xf numFmtId="49" fontId="11" fillId="2" borderId="21" applyNumberFormat="1" applyFont="1" applyFill="1" applyBorder="1" applyAlignment="1" applyProtection="0">
      <alignment horizontal="center" vertical="bottom"/>
    </xf>
    <xf numFmtId="0" fontId="11" fillId="2" borderId="40" applyNumberFormat="0" applyFont="1" applyFill="1" applyBorder="1" applyAlignment="1" applyProtection="0">
      <alignment horizontal="center" vertical="bottom"/>
    </xf>
    <xf numFmtId="0" fontId="11" fillId="2" borderId="41" applyNumberFormat="0" applyFont="1" applyFill="1" applyBorder="1" applyAlignment="1" applyProtection="0">
      <alignment horizontal="center" vertical="bottom"/>
    </xf>
    <xf numFmtId="49" fontId="0" fillId="2" borderId="31" applyNumberFormat="1" applyFont="1" applyFill="1" applyBorder="1" applyAlignment="1" applyProtection="0">
      <alignment vertical="top" wrapText="1"/>
    </xf>
    <xf numFmtId="0" fontId="0" fillId="2" borderId="31" applyNumberFormat="0" applyFont="1" applyFill="1" applyBorder="1" applyAlignment="1" applyProtection="0">
      <alignment vertical="top" wrapText="1"/>
    </xf>
    <xf numFmtId="0" fontId="13" fillId="2" borderId="20" applyNumberFormat="0" applyFont="1" applyFill="1" applyBorder="1" applyAlignment="1" applyProtection="0">
      <alignment vertical="center" wrapText="1"/>
    </xf>
    <xf numFmtId="49" fontId="11" fillId="2" borderId="42" applyNumberFormat="1" applyFont="1" applyFill="1" applyBorder="1" applyAlignment="1" applyProtection="0">
      <alignment horizontal="center" vertical="top"/>
    </xf>
    <xf numFmtId="0" fontId="11" fillId="2" borderId="43" applyNumberFormat="0" applyFont="1" applyFill="1" applyBorder="1" applyAlignment="1" applyProtection="0">
      <alignment horizontal="center" vertical="top"/>
    </xf>
    <xf numFmtId="0" fontId="11" fillId="2" borderId="44" applyNumberFormat="0" applyFont="1" applyFill="1" applyBorder="1" applyAlignment="1" applyProtection="0">
      <alignment horizontal="center" vertical="top"/>
    </xf>
    <xf numFmtId="49" fontId="11" fillId="2" borderId="45" applyNumberFormat="1" applyFont="1" applyFill="1" applyBorder="1" applyAlignment="1" applyProtection="0">
      <alignment horizontal="center" vertical="top"/>
    </xf>
    <xf numFmtId="49" fontId="14" fillId="2" borderId="46" applyNumberFormat="1" applyFont="1" applyFill="1" applyBorder="1" applyAlignment="1" applyProtection="0">
      <alignment vertical="top"/>
    </xf>
    <xf numFmtId="0" fontId="11" fillId="2" borderId="34" applyNumberFormat="0" applyFont="1" applyFill="1" applyBorder="1" applyAlignment="1" applyProtection="0">
      <alignment horizontal="center" vertical="top"/>
    </xf>
    <xf numFmtId="0" fontId="11" fillId="2" borderId="35" applyNumberFormat="0" applyFont="1" applyFill="1" applyBorder="1" applyAlignment="1" applyProtection="0">
      <alignment horizontal="center" vertical="top"/>
    </xf>
    <xf numFmtId="0" fontId="0" fillId="2" borderId="47" applyNumberFormat="0" applyFont="1" applyFill="1" applyBorder="1" applyAlignment="1" applyProtection="0">
      <alignment vertical="bottom"/>
    </xf>
    <xf numFmtId="49" fontId="9" fillId="2" borderId="33" applyNumberFormat="1" applyFont="1" applyFill="1" applyBorder="1" applyAlignment="1" applyProtection="0">
      <alignment horizontal="left" vertical="center"/>
    </xf>
    <xf numFmtId="0" fontId="0" fillId="2" borderId="34" applyNumberFormat="0" applyFont="1" applyFill="1" applyBorder="1" applyAlignment="1" applyProtection="0">
      <alignment vertical="center"/>
    </xf>
    <xf numFmtId="0" fontId="0" fillId="2" borderId="35" applyNumberFormat="0" applyFont="1" applyFill="1" applyBorder="1" applyAlignment="1" applyProtection="0">
      <alignment vertical="center"/>
    </xf>
    <xf numFmtId="0" fontId="4" fillId="2" borderId="20" applyNumberFormat="0" applyFont="1" applyFill="1" applyBorder="1" applyAlignment="1" applyProtection="0">
      <alignment vertical="center"/>
    </xf>
    <xf numFmtId="49" fontId="12" fillId="2" borderId="33" applyNumberFormat="1" applyFont="1" applyFill="1" applyBorder="1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  <xf numFmtId="49" fontId="11" fillId="2" borderId="40" applyNumberFormat="1" applyFont="1" applyFill="1" applyBorder="1" applyAlignment="1" applyProtection="0">
      <alignment vertical="top"/>
    </xf>
    <xf numFmtId="0" fontId="11" fillId="2" borderId="40" applyNumberFormat="0" applyFont="1" applyFill="1" applyBorder="1" applyAlignment="1" applyProtection="0">
      <alignment vertical="top"/>
    </xf>
    <xf numFmtId="0" fontId="11" fillId="2" borderId="41" applyNumberFormat="0" applyFont="1" applyFill="1" applyBorder="1" applyAlignment="1" applyProtection="0">
      <alignment vertical="top"/>
    </xf>
    <xf numFmtId="49" fontId="11" fillId="2" borderId="9" applyNumberFormat="1" applyFont="1" applyFill="1" applyBorder="1" applyAlignment="1" applyProtection="0">
      <alignment vertical="top"/>
    </xf>
    <xf numFmtId="0" fontId="11" fillId="2" borderId="9" applyNumberFormat="0" applyFont="1" applyFill="1" applyBorder="1" applyAlignment="1" applyProtection="0">
      <alignment vertical="top"/>
    </xf>
    <xf numFmtId="0" fontId="11" fillId="2" borderId="48" applyNumberFormat="0" applyFont="1" applyFill="1" applyBorder="1" applyAlignment="1" applyProtection="0">
      <alignment vertical="top"/>
    </xf>
    <xf numFmtId="0" fontId="0" fillId="2" borderId="9" applyNumberFormat="0" applyFont="1" applyFill="1" applyBorder="1" applyAlignment="1" applyProtection="0">
      <alignment vertical="bottom"/>
    </xf>
    <xf numFmtId="49" fontId="11" fillId="2" borderId="9" applyNumberFormat="1" applyFont="1" applyFill="1" applyBorder="1" applyAlignment="1" applyProtection="0">
      <alignment vertical="bottom"/>
    </xf>
    <xf numFmtId="0" fontId="0" fillId="2" borderId="48" applyNumberFormat="0" applyFont="1" applyFill="1" applyBorder="1" applyAlignment="1" applyProtection="0">
      <alignment vertical="bottom"/>
    </xf>
    <xf numFmtId="0" fontId="0" fillId="2" borderId="27" applyNumberFormat="0" applyFont="1" applyFill="1" applyBorder="1" applyAlignment="1" applyProtection="0">
      <alignment vertical="bottom"/>
    </xf>
    <xf numFmtId="49" fontId="15" fillId="2" borderId="43" applyNumberFormat="1" applyFont="1" applyFill="1" applyBorder="1" applyAlignment="1" applyProtection="0">
      <alignment vertical="top"/>
    </xf>
    <xf numFmtId="0" fontId="0" fillId="2" borderId="43" applyNumberFormat="0" applyFont="1" applyFill="1" applyBorder="1" applyAlignment="1" applyProtection="0">
      <alignment vertical="bottom"/>
    </xf>
    <xf numFmtId="0" fontId="0" fillId="2" borderId="44" applyNumberFormat="0" applyFont="1" applyFill="1" applyBorder="1" applyAlignment="1" applyProtection="0">
      <alignment vertical="bottom"/>
    </xf>
    <xf numFmtId="0" fontId="0" fillId="2" borderId="49" applyNumberFormat="0" applyFont="1" applyFill="1" applyBorder="1" applyAlignment="1" applyProtection="0">
      <alignment vertical="bottom"/>
    </xf>
    <xf numFmtId="0" fontId="0" fillId="2" borderId="40" applyNumberFormat="0" applyFont="1" applyFill="1" applyBorder="1" applyAlignment="1" applyProtection="0">
      <alignment vertical="bottom"/>
    </xf>
    <xf numFmtId="0" fontId="0" fillId="2" borderId="50" applyNumberFormat="0" applyFont="1" applyFill="1" applyBorder="1" applyAlignment="1" applyProtection="0">
      <alignment vertical="bottom"/>
    </xf>
    <xf numFmtId="0" fontId="12" fillId="2" borderId="9" applyNumberFormat="0" applyFont="1" applyFill="1" applyBorder="1" applyAlignment="1" applyProtection="0">
      <alignment vertical="bottom"/>
    </xf>
    <xf numFmtId="0" fontId="0" fillId="2" borderId="51" applyNumberFormat="0" applyFont="1" applyFill="1" applyBorder="1" applyAlignment="1" applyProtection="0">
      <alignment vertical="bottom"/>
    </xf>
    <xf numFmtId="0" fontId="0" fillId="2" borderId="52" applyNumberFormat="0" applyFont="1" applyFill="1" applyBorder="1" applyAlignment="1" applyProtection="0">
      <alignment vertical="bottom"/>
    </xf>
    <xf numFmtId="0" fontId="12" fillId="2" borderId="52" applyNumberFormat="0" applyFont="1" applyFill="1" applyBorder="1" applyAlignment="1" applyProtection="0">
      <alignment vertical="bottom"/>
    </xf>
    <xf numFmtId="0" fontId="0" fillId="2" borderId="53" applyNumberFormat="0" applyFont="1" applyFill="1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f7f7f"/>
      <rgbColor rgb="ff969696"/>
      <rgbColor rgb="fffff58c"/>
      <rgbColor rgb="ffaaaaaa"/>
      <rgbColor rgb="ff808080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662"/>
  <sheetViews>
    <sheetView workbookViewId="0" showGridLines="0" defaultGridColor="1"/>
  </sheetViews>
  <sheetFormatPr defaultColWidth="9.16667" defaultRowHeight="12.6" customHeight="1" outlineLevelRow="0" outlineLevelCol="0"/>
  <cols>
    <col min="1" max="1" width="3" style="1" customWidth="1"/>
    <col min="2" max="2" width="16" style="1" customWidth="1"/>
    <col min="3" max="3" width="8.35156" style="1" customWidth="1"/>
    <col min="4" max="4" width="10.6719" style="1" customWidth="1"/>
    <col min="5" max="7" width="12.6719" style="1" customWidth="1"/>
    <col min="8" max="8" width="13.1719" style="1" customWidth="1"/>
    <col min="9" max="9" width="14.5" style="1" customWidth="1"/>
    <col min="10" max="10" width="13.8516" style="1" customWidth="1"/>
    <col min="11" max="12" width="12.6719" style="1" customWidth="1"/>
    <col min="13" max="14" width="9.17188" style="1" customWidth="1"/>
    <col min="15" max="16384" width="9.17188" style="1" customWidth="1"/>
  </cols>
  <sheetData>
    <row r="1" ht="17.25" customHeight="1">
      <c r="A1" t="s" s="2">
        <v>0</v>
      </c>
      <c r="B1" s="3"/>
      <c r="C1" s="3"/>
      <c r="D1" s="3"/>
      <c r="E1" s="3"/>
      <c r="F1" t="s" s="4">
        <v>1</v>
      </c>
      <c r="G1" t="s" s="4">
        <v>2</v>
      </c>
      <c r="H1" t="s" s="4">
        <v>3</v>
      </c>
      <c r="I1" s="5"/>
      <c r="J1" t="s" s="6">
        <v>4</v>
      </c>
      <c r="K1" s="7"/>
      <c r="L1" s="8"/>
      <c r="M1" s="9"/>
      <c r="N1" s="10"/>
    </row>
    <row r="2" ht="15.75" customHeight="1">
      <c r="A2" t="s" s="11">
        <v>5</v>
      </c>
      <c r="B2" s="12"/>
      <c r="C2" s="12"/>
      <c r="D2" s="12"/>
      <c r="E2" s="12"/>
      <c r="F2" t="s" s="13">
        <v>6</v>
      </c>
      <c r="G2" t="s" s="13">
        <v>7</v>
      </c>
      <c r="H2" t="s" s="13">
        <v>8</v>
      </c>
      <c r="I2" s="14"/>
      <c r="J2" t="s" s="15">
        <v>9</v>
      </c>
      <c r="K2" t="s" s="16">
        <v>10</v>
      </c>
      <c r="L2" s="17"/>
      <c r="M2" s="18"/>
      <c r="N2" s="19"/>
    </row>
    <row r="3" ht="8" customHeight="1">
      <c r="A3" s="20"/>
      <c r="B3" s="21"/>
      <c r="C3" s="21"/>
      <c r="D3" s="21"/>
      <c r="E3" s="21"/>
      <c r="F3" s="21"/>
      <c r="G3" s="21"/>
      <c r="H3" s="21"/>
      <c r="I3" s="21"/>
      <c r="J3" s="21"/>
      <c r="K3" s="22"/>
      <c r="L3" s="23"/>
      <c r="M3" s="18"/>
      <c r="N3" s="19"/>
    </row>
    <row r="4" ht="22" customHeight="1">
      <c r="A4" t="s" s="24">
        <v>11</v>
      </c>
      <c r="B4" s="25"/>
      <c r="C4" t="s" s="26">
        <v>12</v>
      </c>
      <c r="D4" s="26"/>
      <c r="E4" s="26"/>
      <c r="F4" s="26"/>
      <c r="G4" s="26"/>
      <c r="H4" t="s" s="27">
        <v>13</v>
      </c>
      <c r="I4" t="s" s="26">
        <v>14</v>
      </c>
      <c r="J4" s="26"/>
      <c r="K4" s="26"/>
      <c r="L4" s="26"/>
      <c r="M4" s="28"/>
      <c r="N4" s="19"/>
    </row>
    <row r="5" ht="22" customHeight="1">
      <c r="A5" t="s" s="29">
        <v>15</v>
      </c>
      <c r="B5" s="30"/>
      <c r="C5" t="s" s="31">
        <v>16</v>
      </c>
      <c r="D5" s="32"/>
      <c r="E5" s="32"/>
      <c r="F5" s="32"/>
      <c r="G5" s="32"/>
      <c r="H5" s="33"/>
      <c r="I5" t="s" s="34">
        <v>17</v>
      </c>
      <c r="J5" s="35">
        <v>46201</v>
      </c>
      <c r="K5" t="s" s="34">
        <v>18</v>
      </c>
      <c r="L5" s="35">
        <v>46215</v>
      </c>
      <c r="M5" s="36"/>
      <c r="N5" s="19"/>
    </row>
    <row r="6" ht="22" customHeight="1">
      <c r="A6" s="37"/>
      <c r="B6" s="38"/>
      <c r="C6" s="31"/>
      <c r="D6" s="32"/>
      <c r="E6" s="32"/>
      <c r="F6" s="32"/>
      <c r="G6" s="32"/>
      <c r="H6" s="33"/>
      <c r="I6" s="39"/>
      <c r="J6" s="40"/>
      <c r="K6" s="41"/>
      <c r="L6" s="42"/>
      <c r="M6" s="36"/>
      <c r="N6" s="19"/>
    </row>
    <row r="7" ht="22" customHeight="1">
      <c r="A7" t="s" s="43">
        <v>19</v>
      </c>
      <c r="B7" s="44"/>
      <c r="C7" t="s" s="45">
        <v>20</v>
      </c>
      <c r="D7" s="45"/>
      <c r="E7" s="45"/>
      <c r="F7" s="45"/>
      <c r="G7" s="45"/>
      <c r="H7" s="45"/>
      <c r="I7" s="45"/>
      <c r="J7" s="45"/>
      <c r="K7" s="46"/>
      <c r="L7" s="46"/>
      <c r="M7" s="28"/>
      <c r="N7" s="19"/>
    </row>
    <row r="8" ht="13.5" customHeight="1">
      <c r="A8" s="47"/>
      <c r="B8" s="48"/>
      <c r="C8" s="48"/>
      <c r="D8" s="49"/>
      <c r="E8" t="s" s="50">
        <v>21</v>
      </c>
      <c r="F8" t="s" s="50">
        <v>21</v>
      </c>
      <c r="G8" t="s" s="50">
        <v>21</v>
      </c>
      <c r="H8" t="s" s="50">
        <v>21</v>
      </c>
      <c r="I8" t="s" s="50">
        <v>21</v>
      </c>
      <c r="J8" t="s" s="50">
        <v>21</v>
      </c>
      <c r="K8" t="s" s="50">
        <v>21</v>
      </c>
      <c r="L8" t="s" s="51">
        <v>22</v>
      </c>
      <c r="M8" s="52"/>
      <c r="N8" s="19"/>
    </row>
    <row r="9" ht="18" customHeight="1">
      <c r="A9" t="s" s="53">
        <v>23</v>
      </c>
      <c r="B9" s="54"/>
      <c r="C9" s="54"/>
      <c r="D9" s="55"/>
      <c r="E9" s="56">
        <v>46160</v>
      </c>
      <c r="F9" s="56"/>
      <c r="G9" s="56"/>
      <c r="H9" s="56"/>
      <c r="I9" s="56"/>
      <c r="J9" s="56"/>
      <c r="K9" s="56"/>
      <c r="L9" s="57"/>
      <c r="M9" s="28"/>
      <c r="N9" s="19"/>
    </row>
    <row r="10" ht="18" customHeight="1">
      <c r="A10" t="s" s="58">
        <v>24</v>
      </c>
      <c r="B10" s="59"/>
      <c r="C10" s="59"/>
      <c r="D10" s="60"/>
      <c r="E10" s="61"/>
      <c r="F10" s="61"/>
      <c r="G10" s="61"/>
      <c r="H10" s="61"/>
      <c r="I10" s="61"/>
      <c r="J10" s="61"/>
      <c r="K10" s="61"/>
      <c r="L10" s="57"/>
      <c r="M10" s="28"/>
      <c r="N10" s="19"/>
    </row>
    <row r="11" ht="22" customHeight="1">
      <c r="A11" t="s" s="58">
        <v>25</v>
      </c>
      <c r="B11" s="59"/>
      <c r="C11" s="59"/>
      <c r="D11" s="60"/>
      <c r="E11" s="61"/>
      <c r="F11" s="61"/>
      <c r="G11" s="61"/>
      <c r="H11" s="61"/>
      <c r="I11" s="61"/>
      <c r="J11" s="61"/>
      <c r="K11" s="61"/>
      <c r="L11" s="57"/>
      <c r="M11" s="28"/>
      <c r="N11" s="19"/>
    </row>
    <row r="12" ht="22" customHeight="1">
      <c r="A12" t="s" s="58">
        <v>26</v>
      </c>
      <c r="B12" s="59"/>
      <c r="C12" s="59"/>
      <c r="D12" s="60"/>
      <c r="E12" s="61"/>
      <c r="F12" s="61"/>
      <c r="G12" s="61"/>
      <c r="H12" s="61"/>
      <c r="I12" s="61"/>
      <c r="J12" s="61"/>
      <c r="K12" s="61"/>
      <c r="L12" s="57"/>
      <c r="M12" s="28"/>
      <c r="N12" s="19"/>
    </row>
    <row r="13" ht="22" customHeight="1">
      <c r="A13" t="s" s="58">
        <v>27</v>
      </c>
      <c r="B13" s="59"/>
      <c r="C13" s="59"/>
      <c r="D13" s="60"/>
      <c r="E13" s="61"/>
      <c r="F13" s="61"/>
      <c r="G13" s="61"/>
      <c r="H13" s="61"/>
      <c r="I13" s="61"/>
      <c r="J13" s="61"/>
      <c r="K13" s="61"/>
      <c r="L13" s="57"/>
      <c r="M13" s="28"/>
      <c r="N13" s="19"/>
    </row>
    <row r="14" ht="22" customHeight="1">
      <c r="A14" t="s" s="58">
        <v>28</v>
      </c>
      <c r="B14" s="59"/>
      <c r="C14" s="59"/>
      <c r="D14" s="60"/>
      <c r="E14" s="61"/>
      <c r="F14" s="61"/>
      <c r="G14" s="61"/>
      <c r="H14" s="61"/>
      <c r="I14" s="61"/>
      <c r="J14" s="61"/>
      <c r="K14" s="61"/>
      <c r="L14" s="57"/>
      <c r="M14" s="28"/>
      <c r="N14" s="19"/>
    </row>
    <row r="15" ht="22" customHeight="1">
      <c r="A15" t="s" s="43">
        <v>29</v>
      </c>
      <c r="B15" t="s" s="62">
        <v>30</v>
      </c>
      <c r="C15" s="63"/>
      <c r="D15" s="63"/>
      <c r="E15" s="64">
        <f>SUM(E10:E14)</f>
        <v>0</v>
      </c>
      <c r="F15" s="64">
        <f>SUM(F10:F14)</f>
        <v>0</v>
      </c>
      <c r="G15" s="64">
        <f>SUM(G10:G14)</f>
        <v>0</v>
      </c>
      <c r="H15" s="64">
        <f>SUM(H10:H14)</f>
        <v>0</v>
      </c>
      <c r="I15" s="64">
        <f>SUM(I10:I14)</f>
        <v>0</v>
      </c>
      <c r="J15" s="64">
        <f>SUM(J10:J14)</f>
        <v>0</v>
      </c>
      <c r="K15" s="64">
        <f>SUM(K10:K14)</f>
        <v>0</v>
      </c>
      <c r="L15" s="64">
        <f>SUM(E15:K15)</f>
        <v>0</v>
      </c>
      <c r="M15" s="28"/>
      <c r="N15" s="19"/>
    </row>
    <row r="16" ht="22" customHeight="1">
      <c r="A16" t="s" s="43">
        <v>31</v>
      </c>
      <c r="B16" t="s" s="65">
        <v>32</v>
      </c>
      <c r="C16" s="66"/>
      <c r="D16" s="66"/>
      <c r="E16" s="61"/>
      <c r="F16" s="61"/>
      <c r="G16" s="67"/>
      <c r="H16" s="67"/>
      <c r="I16" s="44"/>
      <c r="J16" s="67"/>
      <c r="K16" s="67"/>
      <c r="L16" s="64">
        <f>SUM(E16:K16)</f>
        <v>0</v>
      </c>
      <c r="M16" s="28"/>
      <c r="N16" s="19"/>
    </row>
    <row r="17" ht="22" customHeight="1">
      <c r="A17" s="68">
        <v>2</v>
      </c>
      <c r="B17" t="s" s="58">
        <v>33</v>
      </c>
      <c r="C17" s="59"/>
      <c r="D17" s="60"/>
      <c r="E17" s="69">
        <v>806.6</v>
      </c>
      <c r="F17" s="61"/>
      <c r="G17" s="67"/>
      <c r="H17" s="67"/>
      <c r="I17" s="67"/>
      <c r="J17" s="67"/>
      <c r="K17" s="67"/>
      <c r="L17" s="64">
        <f>SUM(E17:K17)</f>
        <v>806.6</v>
      </c>
      <c r="M17" s="28"/>
      <c r="N17" s="19"/>
    </row>
    <row r="18" ht="22" customHeight="1">
      <c r="A18" s="70">
        <v>3</v>
      </c>
      <c r="B18" t="s" s="65">
        <v>34</v>
      </c>
      <c r="C18" s="66"/>
      <c r="D18" s="66"/>
      <c r="E18" s="61"/>
      <c r="F18" s="61"/>
      <c r="G18" s="67"/>
      <c r="H18" s="67"/>
      <c r="I18" s="67"/>
      <c r="J18" s="67"/>
      <c r="K18" s="67"/>
      <c r="L18" s="64">
        <f>SUM(E18:K18)</f>
        <v>0</v>
      </c>
      <c r="M18" s="28"/>
      <c r="N18" s="19"/>
    </row>
    <row r="19" ht="22" customHeight="1">
      <c r="A19" s="70">
        <v>4</v>
      </c>
      <c r="B19" t="s" s="71">
        <v>35</v>
      </c>
      <c r="C19" s="48"/>
      <c r="D19" s="49"/>
      <c r="E19" s="61"/>
      <c r="F19" s="61"/>
      <c r="G19" s="67"/>
      <c r="H19" s="67"/>
      <c r="I19" s="67"/>
      <c r="J19" s="67"/>
      <c r="K19" s="67"/>
      <c r="L19" s="64">
        <f>SUM(E19:K19)</f>
        <v>0</v>
      </c>
      <c r="M19" s="28"/>
      <c r="N19" s="19"/>
    </row>
    <row r="20" ht="22" customHeight="1">
      <c r="A20" s="72">
        <v>5</v>
      </c>
      <c r="B20" t="s" s="73">
        <v>36</v>
      </c>
      <c r="C20" s="74"/>
      <c r="D20" s="74"/>
      <c r="E20" s="75"/>
      <c r="F20" s="76"/>
      <c r="G20" s="77"/>
      <c r="H20" s="77"/>
      <c r="I20" s="77"/>
      <c r="J20" s="44"/>
      <c r="K20" s="44"/>
      <c r="L20" s="78">
        <f>E20*F20</f>
        <v>0</v>
      </c>
      <c r="M20" s="28"/>
      <c r="N20" s="19"/>
    </row>
    <row r="21" ht="8.25" customHeight="1">
      <c r="A21" s="79"/>
      <c r="B21" s="74"/>
      <c r="C21" s="74"/>
      <c r="D21" s="74"/>
      <c r="E21" t="s" s="80">
        <v>37</v>
      </c>
      <c r="F21" t="s" s="80">
        <v>38</v>
      </c>
      <c r="G21" s="77"/>
      <c r="H21" s="77"/>
      <c r="I21" s="77"/>
      <c r="J21" s="44"/>
      <c r="K21" s="44"/>
      <c r="L21" s="81"/>
      <c r="M21" s="28"/>
      <c r="N21" s="19"/>
    </row>
    <row r="22" ht="22" customHeight="1">
      <c r="A22" s="70">
        <v>6</v>
      </c>
      <c r="B22" t="s" s="65">
        <v>39</v>
      </c>
      <c r="C22" s="66"/>
      <c r="D22" s="66"/>
      <c r="E22" s="82"/>
      <c r="F22" s="82"/>
      <c r="G22" s="82"/>
      <c r="H22" s="82"/>
      <c r="I22" s="82"/>
      <c r="J22" s="82"/>
      <c r="K22" s="82"/>
      <c r="L22" s="64">
        <f>SUM(E22:K22)</f>
        <v>0</v>
      </c>
      <c r="M22" s="28"/>
      <c r="N22" s="19"/>
    </row>
    <row r="23" ht="22" customHeight="1">
      <c r="A23" s="70">
        <v>7</v>
      </c>
      <c r="B23" t="s" s="65">
        <v>40</v>
      </c>
      <c r="C23" s="66"/>
      <c r="D23" s="66"/>
      <c r="E23" s="44"/>
      <c r="F23" s="82"/>
      <c r="G23" s="82"/>
      <c r="H23" s="82"/>
      <c r="I23" s="82"/>
      <c r="J23" s="82"/>
      <c r="K23" s="82"/>
      <c r="L23" s="64">
        <f>SUM(E23:K23)</f>
        <v>0</v>
      </c>
      <c r="M23" s="83"/>
      <c r="N23" s="19"/>
    </row>
    <row r="24" ht="22" customHeight="1">
      <c r="A24" s="70">
        <v>8</v>
      </c>
      <c r="B24" t="s" s="65">
        <v>41</v>
      </c>
      <c r="C24" s="66"/>
      <c r="D24" s="66"/>
      <c r="E24" s="82"/>
      <c r="F24" s="82"/>
      <c r="G24" s="82"/>
      <c r="H24" s="82"/>
      <c r="I24" s="82"/>
      <c r="J24" s="82"/>
      <c r="K24" s="82"/>
      <c r="L24" s="64">
        <f>SUM(E24:K24)</f>
        <v>0</v>
      </c>
      <c r="M24" s="83"/>
      <c r="N24" s="19"/>
    </row>
    <row r="25" ht="22" customHeight="1">
      <c r="A25" s="70">
        <v>9</v>
      </c>
      <c r="B25" t="s" s="65">
        <v>42</v>
      </c>
      <c r="C25" s="66"/>
      <c r="D25" s="66"/>
      <c r="E25" s="82"/>
      <c r="F25" s="82"/>
      <c r="G25" s="82"/>
      <c r="H25" s="82"/>
      <c r="I25" s="82"/>
      <c r="J25" s="82"/>
      <c r="K25" s="82"/>
      <c r="L25" s="64">
        <f>SUM(E25:K25)</f>
        <v>0</v>
      </c>
      <c r="M25" s="28"/>
      <c r="N25" s="19"/>
    </row>
    <row r="26" ht="22" customHeight="1">
      <c r="A26" s="70">
        <v>10</v>
      </c>
      <c r="B26" t="s" s="65">
        <v>43</v>
      </c>
      <c r="C26" s="66"/>
      <c r="D26" s="66"/>
      <c r="E26" s="82"/>
      <c r="F26" s="82"/>
      <c r="G26" s="82"/>
      <c r="H26" s="82"/>
      <c r="I26" s="82"/>
      <c r="J26" s="82"/>
      <c r="K26" s="82"/>
      <c r="L26" s="64">
        <f>SUM(E26:K26)</f>
        <v>0</v>
      </c>
      <c r="M26" s="28"/>
      <c r="N26" s="19"/>
    </row>
    <row r="27" ht="22" customHeight="1">
      <c r="A27" s="70">
        <v>11</v>
      </c>
      <c r="B27" t="s" s="65">
        <v>44</v>
      </c>
      <c r="C27" s="66"/>
      <c r="D27" s="66"/>
      <c r="E27" s="82"/>
      <c r="F27" s="82"/>
      <c r="G27" s="82"/>
      <c r="H27" s="82"/>
      <c r="I27" s="82"/>
      <c r="J27" s="82"/>
      <c r="K27" s="82"/>
      <c r="L27" s="64">
        <f>SUM(E27:K27)</f>
        <v>0</v>
      </c>
      <c r="M27" s="28"/>
      <c r="N27" s="19"/>
    </row>
    <row r="28" ht="22" customHeight="1">
      <c r="A28" s="70">
        <v>12</v>
      </c>
      <c r="B28" s="66"/>
      <c r="C28" s="66"/>
      <c r="D28" s="66"/>
      <c r="E28" s="82"/>
      <c r="F28" s="82"/>
      <c r="G28" s="82"/>
      <c r="H28" s="82"/>
      <c r="I28" s="82"/>
      <c r="J28" s="82"/>
      <c r="K28" s="82"/>
      <c r="L28" s="64">
        <f>SUM(E28:K28)</f>
        <v>0</v>
      </c>
      <c r="M28" s="28"/>
      <c r="N28" s="19"/>
    </row>
    <row r="29" ht="22" customHeight="1">
      <c r="A29" s="70">
        <v>13</v>
      </c>
      <c r="B29" s="66"/>
      <c r="C29" s="66"/>
      <c r="D29" s="66"/>
      <c r="E29" s="82"/>
      <c r="F29" s="82"/>
      <c r="G29" s="82"/>
      <c r="H29" s="82"/>
      <c r="I29" s="82"/>
      <c r="J29" s="82"/>
      <c r="K29" s="82"/>
      <c r="L29" s="64">
        <f>SUM(E29:K29)</f>
        <v>0</v>
      </c>
      <c r="M29" s="28"/>
      <c r="N29" s="19"/>
    </row>
    <row r="30" ht="22" customHeight="1">
      <c r="A30" s="70">
        <v>14</v>
      </c>
      <c r="B30" t="s" s="84">
        <v>45</v>
      </c>
      <c r="C30" s="85"/>
      <c r="D30" s="85"/>
      <c r="E30" s="85"/>
      <c r="F30" s="85"/>
      <c r="G30" s="85"/>
      <c r="H30" t="s" s="65">
        <v>46</v>
      </c>
      <c r="I30" s="66"/>
      <c r="J30" s="66"/>
      <c r="K30" s="66"/>
      <c r="L30" s="64">
        <f>SUM(L15:L29)</f>
        <v>806.6</v>
      </c>
      <c r="M30" s="28"/>
      <c r="N30" s="19"/>
    </row>
    <row r="31" ht="18" customHeight="1">
      <c r="A31" s="70">
        <v>15</v>
      </c>
      <c r="B31" t="s" s="86">
        <v>47</v>
      </c>
      <c r="C31" t="s" s="86">
        <v>48</v>
      </c>
      <c r="D31" t="s" s="86">
        <v>49</v>
      </c>
      <c r="E31" t="s" s="86">
        <v>50</v>
      </c>
      <c r="F31" t="s" s="86">
        <v>51</v>
      </c>
      <c r="G31" t="s" s="86">
        <v>52</v>
      </c>
      <c r="H31" t="s" s="65">
        <v>53</v>
      </c>
      <c r="I31" s="66"/>
      <c r="J31" s="66"/>
      <c r="K31" s="66"/>
      <c r="L31" s="82"/>
      <c r="M31" s="28"/>
      <c r="N31" s="19"/>
    </row>
    <row r="32" ht="22" customHeight="1">
      <c r="A32" s="70">
        <v>16</v>
      </c>
      <c r="B32" s="87">
        <v>806.6</v>
      </c>
      <c r="C32" s="88"/>
      <c r="D32" s="88"/>
      <c r="E32" s="88"/>
      <c r="F32" s="88"/>
      <c r="G32" s="88"/>
      <c r="H32" t="s" s="58">
        <v>54</v>
      </c>
      <c r="I32" s="59"/>
      <c r="J32" s="59"/>
      <c r="K32" s="60"/>
      <c r="L32" s="64">
        <f>L30-L31</f>
        <v>806.6</v>
      </c>
      <c r="M32" s="28"/>
      <c r="N32" s="19"/>
    </row>
    <row r="33" ht="22" customHeight="1">
      <c r="A33" s="70">
        <v>17</v>
      </c>
      <c r="B33" s="87"/>
      <c r="C33" s="88"/>
      <c r="D33" s="89"/>
      <c r="E33" s="89"/>
      <c r="F33" s="89"/>
      <c r="G33" s="89"/>
      <c r="H33" t="s" s="65">
        <v>55</v>
      </c>
      <c r="I33" s="66"/>
      <c r="J33" s="66"/>
      <c r="K33" s="66"/>
      <c r="L33" s="82"/>
      <c r="M33" s="28"/>
      <c r="N33" s="19"/>
    </row>
    <row r="34" ht="22" customHeight="1">
      <c r="A34" s="70">
        <v>18</v>
      </c>
      <c r="B34" s="87"/>
      <c r="C34" s="88"/>
      <c r="D34" s="89"/>
      <c r="E34" s="89"/>
      <c r="F34" s="89"/>
      <c r="G34" s="89"/>
      <c r="H34" t="s" s="65">
        <v>56</v>
      </c>
      <c r="I34" s="66"/>
      <c r="J34" s="66"/>
      <c r="K34" s="66"/>
      <c r="L34" s="44"/>
      <c r="M34" s="28"/>
      <c r="N34" s="19"/>
    </row>
    <row r="35" ht="22" customHeight="1">
      <c r="A35" s="70">
        <v>19</v>
      </c>
      <c r="B35" s="87"/>
      <c r="C35" s="88"/>
      <c r="D35" s="89"/>
      <c r="E35" s="89"/>
      <c r="F35" s="89"/>
      <c r="G35" s="89"/>
      <c r="H35" t="s" s="90">
        <v>57</v>
      </c>
      <c r="I35" s="91"/>
      <c r="J35" s="92"/>
      <c r="K35" s="92"/>
      <c r="L35" s="82"/>
      <c r="M35" s="28"/>
      <c r="N35" s="19"/>
    </row>
    <row r="36" ht="22" customHeight="1">
      <c r="A36" s="70">
        <v>20</v>
      </c>
      <c r="B36" s="87"/>
      <c r="C36" s="88"/>
      <c r="D36" s="89"/>
      <c r="E36" s="89"/>
      <c r="F36" s="89"/>
      <c r="G36" s="89"/>
      <c r="H36" t="s" s="90">
        <v>58</v>
      </c>
      <c r="I36" s="91"/>
      <c r="J36" s="93"/>
      <c r="K36" s="94"/>
      <c r="L36" s="82"/>
      <c r="M36" s="28"/>
      <c r="N36" s="19"/>
    </row>
    <row r="37" ht="22" customHeight="1">
      <c r="A37" s="70">
        <v>21</v>
      </c>
      <c r="B37" s="87"/>
      <c r="C37" s="88"/>
      <c r="D37" s="89"/>
      <c r="E37" s="89"/>
      <c r="F37" s="89"/>
      <c r="G37" s="89"/>
      <c r="H37" t="s" s="58">
        <v>59</v>
      </c>
      <c r="I37" s="95"/>
      <c r="J37" s="93"/>
      <c r="K37" s="94"/>
      <c r="L37" s="82"/>
      <c r="M37" s="28"/>
      <c r="N37" s="19"/>
    </row>
    <row r="38" ht="22" customHeight="1">
      <c r="A38" s="70">
        <v>22</v>
      </c>
      <c r="B38" s="87"/>
      <c r="C38" s="88"/>
      <c r="D38" s="89"/>
      <c r="E38" s="89"/>
      <c r="F38" s="89"/>
      <c r="G38" s="89"/>
      <c r="H38" t="s" s="58">
        <v>60</v>
      </c>
      <c r="I38" s="59"/>
      <c r="J38" s="96"/>
      <c r="K38" s="97"/>
      <c r="L38" s="82"/>
      <c r="M38" s="28"/>
      <c r="N38" s="19"/>
    </row>
    <row r="39" ht="22" customHeight="1" hidden="1">
      <c r="A39" s="44"/>
      <c r="B39" s="87"/>
      <c r="C39" s="88"/>
      <c r="D39" s="89"/>
      <c r="E39" s="89"/>
      <c r="F39" s="89"/>
      <c r="G39" s="89"/>
      <c r="H39" s="85"/>
      <c r="I39" s="85"/>
      <c r="J39" t="s" s="98">
        <v>61</v>
      </c>
      <c r="K39" s="99"/>
      <c r="L39" s="64">
        <f>IF(L33&lt;1,(L32-L35-L36-L37-L38),IF(L33&lt;L32,(L33-L35-L36-L37-L38),(L32-L35-L36-L37-L38)))</f>
        <v>806.6</v>
      </c>
      <c r="M39" s="28"/>
      <c r="N39" s="19"/>
    </row>
    <row r="40" ht="22" customHeight="1">
      <c r="A40" s="70">
        <v>23</v>
      </c>
      <c r="B40" s="87"/>
      <c r="C40" s="88"/>
      <c r="D40" s="89"/>
      <c r="E40" s="89"/>
      <c r="F40" s="89"/>
      <c r="G40" s="89"/>
      <c r="H40" t="s" s="65">
        <v>62</v>
      </c>
      <c r="I40" s="66"/>
      <c r="J40" s="66"/>
      <c r="K40" s="66"/>
      <c r="L40" s="64">
        <f>IF(L39&lt;0,-L39,0)</f>
        <v>0</v>
      </c>
      <c r="M40" s="28"/>
      <c r="N40" s="100"/>
    </row>
    <row r="41" ht="22" customHeight="1">
      <c r="A41" s="70">
        <v>24</v>
      </c>
      <c r="B41" s="87"/>
      <c r="C41" s="88"/>
      <c r="D41" s="89"/>
      <c r="E41" s="89"/>
      <c r="F41" s="89"/>
      <c r="G41" s="89"/>
      <c r="H41" t="s" s="65">
        <v>63</v>
      </c>
      <c r="I41" s="66"/>
      <c r="J41" s="66"/>
      <c r="K41" s="66"/>
      <c r="L41" s="64">
        <f>IF(L39&lt;0,0,IF(L33=0,L39,IF(L33&lt;L39,(L33-L36-L35-L38),L39)))</f>
        <v>806.6</v>
      </c>
      <c r="M41" s="101"/>
      <c r="N41" s="19"/>
    </row>
    <row r="42" ht="12" customHeight="1">
      <c r="A42" s="44"/>
      <c r="B42" t="s" s="102">
        <v>64</v>
      </c>
      <c r="C42" s="103"/>
      <c r="D42" s="103"/>
      <c r="E42" s="103"/>
      <c r="F42" s="103"/>
      <c r="G42" s="103"/>
      <c r="H42" t="s" s="104">
        <v>65</v>
      </c>
      <c r="I42" s="48"/>
      <c r="J42" s="48"/>
      <c r="K42" s="48"/>
      <c r="L42" s="49"/>
      <c r="M42" s="101"/>
      <c r="N42" s="19"/>
    </row>
    <row r="43" ht="9.75" customHeight="1">
      <c r="A43" t="s" s="105">
        <v>66</v>
      </c>
      <c r="B43" s="106"/>
      <c r="C43" s="106"/>
      <c r="D43" s="106"/>
      <c r="E43" s="106"/>
      <c r="F43" s="106"/>
      <c r="G43" s="107"/>
      <c r="H43" t="s" s="108">
        <v>67</v>
      </c>
      <c r="I43" s="109"/>
      <c r="J43" s="109"/>
      <c r="K43" s="109"/>
      <c r="L43" s="109"/>
      <c r="M43" s="110"/>
      <c r="N43" s="19"/>
    </row>
    <row r="44" ht="10.5" customHeight="1">
      <c r="A44" t="s" s="111">
        <v>68</v>
      </c>
      <c r="B44" s="112"/>
      <c r="C44" s="112"/>
      <c r="D44" s="112"/>
      <c r="E44" s="112"/>
      <c r="F44" s="112"/>
      <c r="G44" s="113"/>
      <c r="H44" t="s" s="108">
        <v>69</v>
      </c>
      <c r="I44" s="109"/>
      <c r="J44" s="109"/>
      <c r="K44" s="109"/>
      <c r="L44" s="109"/>
      <c r="M44" s="110"/>
      <c r="N44" s="19"/>
    </row>
    <row r="45" ht="16.5" customHeight="1">
      <c r="A45" t="s" s="114">
        <v>70</v>
      </c>
      <c r="B45" t="s" s="115">
        <v>71</v>
      </c>
      <c r="C45" s="116"/>
      <c r="D45" s="116"/>
      <c r="E45" s="116"/>
      <c r="F45" s="116"/>
      <c r="G45" s="117"/>
      <c r="H45" s="109"/>
      <c r="I45" s="109"/>
      <c r="J45" s="109"/>
      <c r="K45" s="109"/>
      <c r="L45" s="109"/>
      <c r="M45" s="110"/>
      <c r="N45" s="19"/>
    </row>
    <row r="46" ht="25" customHeight="1">
      <c r="A46" t="s" s="43">
        <v>72</v>
      </c>
      <c r="B46" s="44"/>
      <c r="C46" s="44"/>
      <c r="D46" s="44"/>
      <c r="E46" s="44"/>
      <c r="F46" s="44"/>
      <c r="G46" s="44"/>
      <c r="H46" s="109"/>
      <c r="I46" s="109"/>
      <c r="J46" s="109"/>
      <c r="K46" s="109"/>
      <c r="L46" s="109"/>
      <c r="M46" s="110"/>
      <c r="N46" s="19"/>
    </row>
    <row r="47" ht="13" customHeight="1">
      <c r="A47" t="s" s="71">
        <v>73</v>
      </c>
      <c r="B47" s="48"/>
      <c r="C47" s="48"/>
      <c r="D47" s="48"/>
      <c r="E47" s="49"/>
      <c r="F47" t="s" s="71">
        <v>21</v>
      </c>
      <c r="G47" s="49"/>
      <c r="H47" s="109"/>
      <c r="I47" s="109"/>
      <c r="J47" s="109"/>
      <c r="K47" s="109"/>
      <c r="L47" s="109"/>
      <c r="M47" s="110"/>
      <c r="N47" s="19"/>
    </row>
    <row r="48" ht="28" customHeight="1">
      <c r="A48" s="118"/>
      <c r="B48" s="48"/>
      <c r="C48" s="48"/>
      <c r="D48" s="48"/>
      <c r="E48" s="48"/>
      <c r="F48" s="48"/>
      <c r="G48" s="49"/>
      <c r="H48" s="109"/>
      <c r="I48" s="109"/>
      <c r="J48" s="109"/>
      <c r="K48" s="109"/>
      <c r="L48" s="109"/>
      <c r="M48" s="110"/>
      <c r="N48" s="19"/>
    </row>
    <row r="49" ht="13" customHeight="1">
      <c r="A49" t="s" s="43">
        <v>74</v>
      </c>
      <c r="B49" s="44"/>
      <c r="C49" s="44"/>
      <c r="D49" s="44"/>
      <c r="E49" s="44"/>
      <c r="F49" t="s" s="71">
        <v>21</v>
      </c>
      <c r="G49" s="49"/>
      <c r="H49" s="109"/>
      <c r="I49" s="109"/>
      <c r="J49" s="109"/>
      <c r="K49" s="109"/>
      <c r="L49" s="109"/>
      <c r="M49" s="110"/>
      <c r="N49" s="19"/>
    </row>
    <row r="50" ht="25" customHeight="1">
      <c r="A50" s="44"/>
      <c r="B50" s="44"/>
      <c r="C50" s="44"/>
      <c r="D50" s="44"/>
      <c r="E50" s="44"/>
      <c r="F50" s="44"/>
      <c r="G50" s="44"/>
      <c r="H50" t="s" s="119">
        <v>75</v>
      </c>
      <c r="I50" s="120"/>
      <c r="J50" s="120"/>
      <c r="K50" s="120"/>
      <c r="L50" s="121"/>
      <c r="M50" s="110"/>
      <c r="N50" s="19"/>
    </row>
    <row r="51" ht="13" customHeight="1">
      <c r="A51" t="s" s="71">
        <v>76</v>
      </c>
      <c r="B51" s="48"/>
      <c r="C51" s="48"/>
      <c r="D51" s="48"/>
      <c r="E51" s="48"/>
      <c r="F51" s="48"/>
      <c r="G51" s="49"/>
      <c r="H51" s="109"/>
      <c r="I51" s="109"/>
      <c r="J51" s="109"/>
      <c r="K51" s="109"/>
      <c r="L51" s="109"/>
      <c r="M51" s="110"/>
      <c r="N51" s="19"/>
    </row>
    <row r="52" ht="28" customHeight="1">
      <c r="A52" s="44"/>
      <c r="B52" s="44"/>
      <c r="C52" s="44"/>
      <c r="D52" s="44"/>
      <c r="E52" s="44"/>
      <c r="F52" s="44"/>
      <c r="G52" s="44"/>
      <c r="H52" s="109"/>
      <c r="I52" s="109"/>
      <c r="J52" s="109"/>
      <c r="K52" s="109"/>
      <c r="L52" s="109"/>
      <c r="M52" s="110"/>
      <c r="N52" s="19"/>
    </row>
    <row r="53" ht="13" customHeight="1">
      <c r="A53" t="s" s="71">
        <v>77</v>
      </c>
      <c r="B53" s="48"/>
      <c r="C53" s="48"/>
      <c r="D53" s="48"/>
      <c r="E53" s="49"/>
      <c r="F53" t="s" s="71">
        <v>21</v>
      </c>
      <c r="G53" s="49"/>
      <c r="H53" s="109"/>
      <c r="I53" s="109"/>
      <c r="J53" s="109"/>
      <c r="K53" s="109"/>
      <c r="L53" s="109"/>
      <c r="M53" s="122"/>
      <c r="N53" s="19"/>
    </row>
    <row r="54" ht="25" customHeight="1">
      <c r="A54" s="44"/>
      <c r="B54" s="44"/>
      <c r="C54" s="44"/>
      <c r="D54" s="44"/>
      <c r="E54" s="44"/>
      <c r="F54" s="44"/>
      <c r="G54" s="44"/>
      <c r="H54" s="109"/>
      <c r="I54" s="109"/>
      <c r="J54" s="109"/>
      <c r="K54" s="109"/>
      <c r="L54" s="109"/>
      <c r="M54" s="28"/>
      <c r="N54" s="19"/>
    </row>
    <row r="55" ht="13" customHeight="1">
      <c r="A55" t="s" s="123">
        <v>78</v>
      </c>
      <c r="B55" s="48"/>
      <c r="C55" s="48"/>
      <c r="D55" s="48"/>
      <c r="E55" s="48"/>
      <c r="F55" s="48"/>
      <c r="G55" s="49"/>
      <c r="H55" s="109"/>
      <c r="I55" s="109"/>
      <c r="J55" s="109"/>
      <c r="K55" s="109"/>
      <c r="L55" s="109"/>
      <c r="M55" s="28"/>
      <c r="N55" s="19"/>
    </row>
    <row r="56" ht="12" customHeight="1">
      <c r="A56" s="124"/>
      <c r="B56" t="s" s="125">
        <v>79</v>
      </c>
      <c r="C56" s="126"/>
      <c r="D56" s="126"/>
      <c r="E56" s="126"/>
      <c r="F56" s="126"/>
      <c r="G56" s="126"/>
      <c r="H56" s="126"/>
      <c r="I56" s="126"/>
      <c r="J56" s="126"/>
      <c r="K56" s="126"/>
      <c r="L56" s="127"/>
      <c r="M56" s="28"/>
      <c r="N56" s="19"/>
    </row>
    <row r="57" ht="12" customHeight="1">
      <c r="A57" s="28"/>
      <c r="B57" t="s" s="128">
        <v>80</v>
      </c>
      <c r="C57" s="129"/>
      <c r="D57" s="129"/>
      <c r="E57" s="129"/>
      <c r="F57" s="129"/>
      <c r="G57" s="129"/>
      <c r="H57" s="129"/>
      <c r="I57" s="129"/>
      <c r="J57" s="129"/>
      <c r="K57" s="129"/>
      <c r="L57" s="130"/>
      <c r="M57" s="28"/>
      <c r="N57" s="19"/>
    </row>
    <row r="58" ht="12" customHeight="1">
      <c r="A58" s="28"/>
      <c r="B58" t="s" s="128">
        <v>81</v>
      </c>
      <c r="C58" s="131"/>
      <c r="D58" s="131"/>
      <c r="E58" s="131"/>
      <c r="F58" s="131"/>
      <c r="G58" s="131"/>
      <c r="H58" s="131"/>
      <c r="I58" s="131"/>
      <c r="J58" s="131"/>
      <c r="K58" t="s" s="132">
        <v>82</v>
      </c>
      <c r="L58" s="133"/>
      <c r="M58" s="28"/>
      <c r="N58" s="19"/>
    </row>
    <row r="59" ht="12" customHeight="1">
      <c r="A59" s="28"/>
      <c r="B59" t="s" s="128">
        <v>83</v>
      </c>
      <c r="C59" s="131"/>
      <c r="D59" s="131"/>
      <c r="E59" s="131"/>
      <c r="F59" s="131"/>
      <c r="G59" s="131"/>
      <c r="H59" s="131"/>
      <c r="I59" s="131"/>
      <c r="J59" s="131"/>
      <c r="K59" s="131"/>
      <c r="L59" s="133"/>
      <c r="M59" s="28"/>
      <c r="N59" s="19"/>
    </row>
    <row r="60" ht="13.5" customHeight="1">
      <c r="A60" s="134"/>
      <c r="B60" t="s" s="135">
        <v>84</v>
      </c>
      <c r="C60" s="136"/>
      <c r="D60" s="136"/>
      <c r="E60" s="136"/>
      <c r="F60" s="136"/>
      <c r="G60" s="136"/>
      <c r="H60" s="136"/>
      <c r="I60" s="136"/>
      <c r="J60" s="136"/>
      <c r="K60" s="136"/>
      <c r="L60" s="137"/>
      <c r="M60" s="28"/>
      <c r="N60" s="19"/>
    </row>
    <row r="61" ht="9.75" customHeight="1">
      <c r="A61" s="138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1"/>
      <c r="N61" s="19"/>
    </row>
    <row r="62" ht="14.1" customHeight="1">
      <c r="A62" s="140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9"/>
    </row>
    <row r="63" ht="14.1" customHeight="1">
      <c r="A63" s="140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9"/>
    </row>
    <row r="64" ht="14.1" customHeight="1">
      <c r="A64" s="140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9"/>
    </row>
    <row r="65" ht="14.1" customHeight="1">
      <c r="A65" s="14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9"/>
    </row>
    <row r="66" ht="14.1" customHeight="1">
      <c r="A66" s="140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9"/>
    </row>
    <row r="67" ht="14.1" customHeight="1">
      <c r="A67" s="140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9"/>
    </row>
    <row r="68" ht="14.1" customHeight="1">
      <c r="A68" s="140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9"/>
    </row>
    <row r="69" ht="14.1" customHeight="1">
      <c r="A69" s="140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9"/>
    </row>
    <row r="70" ht="14.1" customHeight="1">
      <c r="A70" s="140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9"/>
    </row>
    <row r="71" ht="14.1" customHeight="1">
      <c r="A71" s="140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9"/>
    </row>
    <row r="72" ht="14.1" customHeight="1">
      <c r="A72" s="140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9"/>
    </row>
    <row r="73" ht="14.1" customHeight="1">
      <c r="A73" s="140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9"/>
    </row>
    <row r="74" ht="14.1" customHeight="1">
      <c r="A74" s="140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9"/>
    </row>
    <row r="75" ht="14.1" customHeight="1">
      <c r="A75" s="140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9"/>
    </row>
    <row r="76" ht="14.1" customHeight="1">
      <c r="A76" s="140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9"/>
    </row>
    <row r="77" ht="14.1" customHeight="1">
      <c r="A77" s="140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9"/>
    </row>
    <row r="78" ht="14.1" customHeight="1">
      <c r="A78" s="140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9"/>
    </row>
    <row r="79" ht="14.1" customHeight="1">
      <c r="A79" s="140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9"/>
    </row>
    <row r="80" ht="14.1" customHeight="1">
      <c r="A80" s="140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9"/>
    </row>
    <row r="81" ht="14.1" customHeight="1">
      <c r="A81" s="140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9"/>
    </row>
    <row r="82" ht="14.1" customHeight="1">
      <c r="A82" s="140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9"/>
    </row>
    <row r="83" ht="14.1" customHeight="1">
      <c r="A83" s="140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9"/>
    </row>
    <row r="84" ht="14.1" customHeight="1">
      <c r="A84" s="140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9"/>
    </row>
    <row r="85" ht="14.1" customHeight="1">
      <c r="A85" s="140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9"/>
    </row>
    <row r="86" ht="14.1" customHeight="1">
      <c r="A86" s="140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9"/>
    </row>
    <row r="87" ht="14.1" customHeight="1">
      <c r="A87" s="140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9"/>
    </row>
    <row r="88" ht="14.1" customHeight="1">
      <c r="A88" s="140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9"/>
    </row>
    <row r="89" ht="14.1" customHeight="1">
      <c r="A89" s="140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9"/>
    </row>
    <row r="90" ht="14.1" customHeight="1">
      <c r="A90" s="140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9"/>
    </row>
    <row r="91" ht="14.1" customHeight="1">
      <c r="A91" s="140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9"/>
    </row>
    <row r="92" ht="14.1" customHeight="1">
      <c r="A92" s="140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9"/>
    </row>
    <row r="93" ht="14.1" customHeight="1">
      <c r="A93" s="140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9"/>
    </row>
    <row r="94" ht="14.1" customHeight="1">
      <c r="A94" s="140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9"/>
    </row>
    <row r="95" ht="14.1" customHeight="1">
      <c r="A95" s="140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9"/>
    </row>
    <row r="96" ht="14.1" customHeight="1">
      <c r="A96" s="140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9"/>
    </row>
    <row r="97" ht="14.1" customHeight="1">
      <c r="A97" s="140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9"/>
    </row>
    <row r="98" ht="14.1" customHeight="1">
      <c r="A98" s="140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9"/>
    </row>
    <row r="99" ht="14.1" customHeight="1">
      <c r="A99" s="140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9"/>
    </row>
    <row r="100" ht="14.1" customHeight="1">
      <c r="A100" s="140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9"/>
    </row>
    <row r="101" ht="14.1" customHeight="1">
      <c r="A101" s="140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9"/>
    </row>
    <row r="102" ht="14.1" customHeight="1">
      <c r="A102" s="140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9"/>
    </row>
    <row r="103" ht="14.1" customHeight="1">
      <c r="A103" s="140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9"/>
    </row>
    <row r="104" ht="14.1" customHeight="1">
      <c r="A104" s="140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9"/>
    </row>
    <row r="105" ht="14.1" customHeight="1">
      <c r="A105" s="140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9"/>
    </row>
    <row r="106" ht="14.1" customHeight="1">
      <c r="A106" s="140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9"/>
    </row>
    <row r="107" ht="14.1" customHeight="1">
      <c r="A107" s="140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9"/>
    </row>
    <row r="108" ht="14.1" customHeight="1">
      <c r="A108" s="140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9"/>
    </row>
    <row r="109" ht="14.1" customHeight="1">
      <c r="A109" s="140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9"/>
    </row>
    <row r="110" ht="14.1" customHeight="1">
      <c r="A110" s="140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9"/>
    </row>
    <row r="111" ht="14.1" customHeight="1">
      <c r="A111" s="140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9"/>
    </row>
    <row r="112" ht="14.1" customHeight="1">
      <c r="A112" s="140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9"/>
    </row>
    <row r="113" ht="14.1" customHeight="1">
      <c r="A113" s="140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9"/>
    </row>
    <row r="114" ht="14.1" customHeight="1">
      <c r="A114" s="140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9"/>
    </row>
    <row r="115" ht="14.1" customHeight="1">
      <c r="A115" s="140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9"/>
    </row>
    <row r="116" ht="14.1" customHeight="1">
      <c r="A116" s="140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9"/>
    </row>
    <row r="117" ht="14.1" customHeight="1">
      <c r="A117" s="14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9"/>
    </row>
    <row r="118" ht="14.1" customHeight="1">
      <c r="A118" s="140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9"/>
    </row>
    <row r="119" ht="14.1" customHeight="1">
      <c r="A119" s="140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9"/>
    </row>
    <row r="120" ht="14.1" customHeight="1">
      <c r="A120" s="140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9"/>
    </row>
    <row r="121" ht="14.1" customHeight="1">
      <c r="A121" s="140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9"/>
    </row>
    <row r="122" ht="14.1" customHeight="1">
      <c r="A122" s="140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9"/>
    </row>
    <row r="123" ht="14.1" customHeight="1">
      <c r="A123" s="140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9"/>
    </row>
    <row r="124" ht="14.1" customHeight="1">
      <c r="A124" s="140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9"/>
    </row>
    <row r="125" ht="14.1" customHeight="1">
      <c r="A125" s="140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9"/>
    </row>
    <row r="126" ht="14.1" customHeight="1">
      <c r="A126" s="140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9"/>
    </row>
    <row r="127" ht="14.1" customHeight="1">
      <c r="A127" s="140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9"/>
    </row>
    <row r="128" ht="14.1" customHeight="1">
      <c r="A128" s="140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9"/>
    </row>
    <row r="129" ht="14.1" customHeight="1">
      <c r="A129" s="140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9"/>
    </row>
    <row r="130" ht="14.1" customHeight="1">
      <c r="A130" s="140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9"/>
    </row>
    <row r="131" ht="14.1" customHeight="1">
      <c r="A131" s="140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9"/>
    </row>
    <row r="132" ht="14.1" customHeight="1">
      <c r="A132" s="140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9"/>
    </row>
    <row r="133" ht="14.1" customHeight="1">
      <c r="A133" s="140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9"/>
    </row>
    <row r="134" ht="14.1" customHeight="1">
      <c r="A134" s="140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9"/>
    </row>
    <row r="135" ht="14.1" customHeight="1">
      <c r="A135" s="140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9"/>
    </row>
    <row r="136" ht="14.1" customHeight="1">
      <c r="A136" s="140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9"/>
    </row>
    <row r="137" ht="14.1" customHeight="1">
      <c r="A137" s="140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9"/>
    </row>
    <row r="138" ht="14.1" customHeight="1">
      <c r="A138" s="140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9"/>
    </row>
    <row r="139" ht="14.1" customHeight="1">
      <c r="A139" s="140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9"/>
    </row>
    <row r="140" ht="14.1" customHeight="1">
      <c r="A140" s="140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9"/>
    </row>
    <row r="141" ht="14.1" customHeight="1">
      <c r="A141" s="140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9"/>
    </row>
    <row r="142" ht="14.1" customHeight="1">
      <c r="A142" s="140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9"/>
    </row>
    <row r="143" ht="14.1" customHeight="1">
      <c r="A143" s="140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9"/>
    </row>
    <row r="144" ht="14.1" customHeight="1">
      <c r="A144" s="140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9"/>
    </row>
    <row r="145" ht="14.1" customHeight="1">
      <c r="A145" s="140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9"/>
    </row>
    <row r="146" ht="14.1" customHeight="1">
      <c r="A146" s="140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9"/>
    </row>
    <row r="147" ht="14.1" customHeight="1">
      <c r="A147" s="140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9"/>
    </row>
    <row r="148" ht="14.1" customHeight="1">
      <c r="A148" s="140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9"/>
    </row>
    <row r="149" ht="14.1" customHeight="1">
      <c r="A149" s="140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9"/>
    </row>
    <row r="150" ht="14.1" customHeight="1">
      <c r="A150" s="140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9"/>
    </row>
    <row r="151" ht="14.1" customHeight="1">
      <c r="A151" s="140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9"/>
    </row>
    <row r="152" ht="14.1" customHeight="1">
      <c r="A152" s="140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9"/>
    </row>
    <row r="153" ht="14.1" customHeight="1">
      <c r="A153" s="140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9"/>
    </row>
    <row r="154" ht="14.1" customHeight="1">
      <c r="A154" s="140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9"/>
    </row>
    <row r="155" ht="14.1" customHeight="1">
      <c r="A155" s="140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9"/>
    </row>
    <row r="156" ht="14.1" customHeight="1">
      <c r="A156" s="140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9"/>
    </row>
    <row r="157" ht="14.1" customHeight="1">
      <c r="A157" s="140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9"/>
    </row>
    <row r="158" ht="14.1" customHeight="1">
      <c r="A158" s="140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9"/>
    </row>
    <row r="159" ht="14.1" customHeight="1">
      <c r="A159" s="140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9"/>
    </row>
    <row r="160" ht="14.1" customHeight="1">
      <c r="A160" s="140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9"/>
    </row>
    <row r="161" ht="14.1" customHeight="1">
      <c r="A161" s="140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9"/>
    </row>
    <row r="162" ht="14.1" customHeight="1">
      <c r="A162" s="140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9"/>
    </row>
    <row r="163" ht="14.1" customHeight="1">
      <c r="A163" s="140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9"/>
    </row>
    <row r="164" ht="14.1" customHeight="1">
      <c r="A164" s="140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9"/>
    </row>
    <row r="165" ht="14.1" customHeight="1">
      <c r="A165" s="140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9"/>
    </row>
    <row r="166" ht="14.1" customHeight="1">
      <c r="A166" s="140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9"/>
    </row>
    <row r="167" ht="14.1" customHeight="1">
      <c r="A167" s="140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9"/>
    </row>
    <row r="168" ht="14.1" customHeight="1">
      <c r="A168" s="140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9"/>
    </row>
    <row r="169" ht="14.1" customHeight="1">
      <c r="A169" s="140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9"/>
    </row>
    <row r="170" ht="14.1" customHeight="1">
      <c r="A170" s="140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9"/>
    </row>
    <row r="171" ht="14.1" customHeight="1">
      <c r="A171" s="140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9"/>
    </row>
    <row r="172" ht="14.1" customHeight="1">
      <c r="A172" s="140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9"/>
    </row>
    <row r="173" ht="14.1" customHeight="1">
      <c r="A173" s="140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9"/>
    </row>
    <row r="174" ht="14.1" customHeight="1">
      <c r="A174" s="140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9"/>
    </row>
    <row r="175" ht="14.1" customHeight="1">
      <c r="A175" s="140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9"/>
    </row>
    <row r="176" ht="14.1" customHeight="1">
      <c r="A176" s="140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9"/>
    </row>
    <row r="177" ht="14.1" customHeight="1">
      <c r="A177" s="140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9"/>
    </row>
    <row r="178" ht="14.1" customHeight="1">
      <c r="A178" s="140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9"/>
    </row>
    <row r="179" ht="14.1" customHeight="1">
      <c r="A179" s="140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9"/>
    </row>
    <row r="180" ht="14.1" customHeight="1">
      <c r="A180" s="140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9"/>
    </row>
    <row r="181" ht="14.1" customHeight="1">
      <c r="A181" s="140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9"/>
    </row>
    <row r="182" ht="14.1" customHeight="1">
      <c r="A182" s="140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9"/>
    </row>
    <row r="183" ht="14.1" customHeight="1">
      <c r="A183" s="140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9"/>
    </row>
    <row r="184" ht="14.1" customHeight="1">
      <c r="A184" s="140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9"/>
    </row>
    <row r="185" ht="14.1" customHeight="1">
      <c r="A185" s="140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9"/>
    </row>
    <row r="186" ht="14.1" customHeight="1">
      <c r="A186" s="140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9"/>
    </row>
    <row r="187" ht="14.1" customHeight="1">
      <c r="A187" s="140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9"/>
    </row>
    <row r="188" ht="14.1" customHeight="1">
      <c r="A188" s="140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9"/>
    </row>
    <row r="189" ht="14.1" customHeight="1">
      <c r="A189" s="140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9"/>
    </row>
    <row r="190" ht="14.1" customHeight="1">
      <c r="A190" s="140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9"/>
    </row>
    <row r="191" ht="14.1" customHeight="1">
      <c r="A191" s="140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9"/>
    </row>
    <row r="192" ht="14.1" customHeight="1">
      <c r="A192" s="140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9"/>
    </row>
    <row r="193" ht="14.1" customHeight="1">
      <c r="A193" s="140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9"/>
    </row>
    <row r="194" ht="14.1" customHeight="1">
      <c r="A194" s="140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9"/>
    </row>
    <row r="195" ht="14.1" customHeight="1">
      <c r="A195" s="140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9"/>
    </row>
    <row r="196" ht="14.1" customHeight="1">
      <c r="A196" s="140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9"/>
    </row>
    <row r="197" ht="14.1" customHeight="1">
      <c r="A197" s="140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9"/>
    </row>
    <row r="198" ht="14.1" customHeight="1">
      <c r="A198" s="140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9"/>
    </row>
    <row r="199" ht="14.1" customHeight="1">
      <c r="A199" s="140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9"/>
    </row>
    <row r="200" ht="14.1" customHeight="1">
      <c r="A200" s="140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9"/>
    </row>
    <row r="201" ht="14.1" customHeight="1">
      <c r="A201" s="140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9"/>
    </row>
    <row r="202" ht="14.1" customHeight="1">
      <c r="A202" s="140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9"/>
    </row>
    <row r="203" ht="14.1" customHeight="1">
      <c r="A203" s="140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9"/>
    </row>
    <row r="204" ht="14.1" customHeight="1">
      <c r="A204" s="140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9"/>
    </row>
    <row r="205" ht="14.1" customHeight="1">
      <c r="A205" s="140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9"/>
    </row>
    <row r="206" ht="14.1" customHeight="1">
      <c r="A206" s="140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9"/>
    </row>
    <row r="207" ht="14.1" customHeight="1">
      <c r="A207" s="140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9"/>
    </row>
    <row r="208" ht="14.1" customHeight="1">
      <c r="A208" s="140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9"/>
    </row>
    <row r="209" ht="14.1" customHeight="1">
      <c r="A209" s="140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9"/>
    </row>
    <row r="210" ht="14.1" customHeight="1">
      <c r="A210" s="140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9"/>
    </row>
    <row r="211" ht="14.1" customHeight="1">
      <c r="A211" s="140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9"/>
    </row>
    <row r="212" ht="14.1" customHeight="1">
      <c r="A212" s="140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9"/>
    </row>
    <row r="213" ht="14.1" customHeight="1">
      <c r="A213" s="140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9"/>
    </row>
    <row r="214" ht="14.1" customHeight="1">
      <c r="A214" s="140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9"/>
    </row>
    <row r="215" ht="14.1" customHeight="1">
      <c r="A215" s="140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9"/>
    </row>
    <row r="216" ht="14.1" customHeight="1">
      <c r="A216" s="140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9"/>
    </row>
    <row r="217" ht="14.1" customHeight="1">
      <c r="A217" s="140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9"/>
    </row>
    <row r="218" ht="14.1" customHeight="1">
      <c r="A218" s="140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9"/>
    </row>
    <row r="219" ht="14.1" customHeight="1">
      <c r="A219" s="140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9"/>
    </row>
    <row r="220" ht="14.1" customHeight="1">
      <c r="A220" s="140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9"/>
    </row>
    <row r="221" ht="14.1" customHeight="1">
      <c r="A221" s="140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9"/>
    </row>
    <row r="222" ht="14.1" customHeight="1">
      <c r="A222" s="140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9"/>
    </row>
    <row r="223" ht="14.1" customHeight="1">
      <c r="A223" s="140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9"/>
    </row>
    <row r="224" ht="14.1" customHeight="1">
      <c r="A224" s="140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9"/>
    </row>
    <row r="225" ht="14.1" customHeight="1">
      <c r="A225" s="140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9"/>
    </row>
    <row r="226" ht="14.1" customHeight="1">
      <c r="A226" s="140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9"/>
    </row>
    <row r="227" ht="14.1" customHeight="1">
      <c r="A227" s="140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9"/>
    </row>
    <row r="228" ht="14.1" customHeight="1">
      <c r="A228" s="140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9"/>
    </row>
    <row r="229" ht="14.1" customHeight="1">
      <c r="A229" s="140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9"/>
    </row>
    <row r="230" ht="14.1" customHeight="1">
      <c r="A230" s="140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9"/>
    </row>
    <row r="231" ht="14.1" customHeight="1">
      <c r="A231" s="140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9"/>
    </row>
    <row r="232" ht="14.1" customHeight="1">
      <c r="A232" s="140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9"/>
    </row>
    <row r="233" ht="14.1" customHeight="1">
      <c r="A233" s="140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9"/>
    </row>
    <row r="234" ht="14.1" customHeight="1">
      <c r="A234" s="140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9"/>
    </row>
    <row r="235" ht="14.1" customHeight="1">
      <c r="A235" s="140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9"/>
    </row>
    <row r="236" ht="14.1" customHeight="1">
      <c r="A236" s="140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9"/>
    </row>
    <row r="237" ht="14.1" customHeight="1">
      <c r="A237" s="140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9"/>
    </row>
    <row r="238" ht="14.1" customHeight="1">
      <c r="A238" s="140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9"/>
    </row>
    <row r="239" ht="14.1" customHeight="1">
      <c r="A239" s="140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9"/>
    </row>
    <row r="240" ht="14.1" customHeight="1">
      <c r="A240" s="140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9"/>
    </row>
    <row r="241" ht="14.1" customHeight="1">
      <c r="A241" s="140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9"/>
    </row>
    <row r="242" ht="14.1" customHeight="1">
      <c r="A242" s="140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9"/>
    </row>
    <row r="243" ht="14.1" customHeight="1">
      <c r="A243" s="140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9"/>
    </row>
    <row r="244" ht="14.1" customHeight="1">
      <c r="A244" s="140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9"/>
    </row>
    <row r="245" ht="14.1" customHeight="1">
      <c r="A245" s="140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9"/>
    </row>
    <row r="246" ht="14.1" customHeight="1">
      <c r="A246" s="140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9"/>
    </row>
    <row r="247" ht="14.1" customHeight="1">
      <c r="A247" s="140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9"/>
    </row>
    <row r="248" ht="14.1" customHeight="1">
      <c r="A248" s="140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9"/>
    </row>
    <row r="249" ht="14.1" customHeight="1">
      <c r="A249" s="140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9"/>
    </row>
    <row r="250" ht="14.1" customHeight="1">
      <c r="A250" s="140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9"/>
    </row>
    <row r="251" ht="14.1" customHeight="1">
      <c r="A251" s="140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9"/>
    </row>
    <row r="252" ht="14.1" customHeight="1">
      <c r="A252" s="140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9"/>
    </row>
    <row r="253" ht="14.1" customHeight="1">
      <c r="A253" s="140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9"/>
    </row>
    <row r="254" ht="14.1" customHeight="1">
      <c r="A254" s="140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9"/>
    </row>
    <row r="255" ht="14.1" customHeight="1">
      <c r="A255" s="140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9"/>
    </row>
    <row r="256" ht="14.1" customHeight="1">
      <c r="A256" s="140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9"/>
    </row>
    <row r="257" ht="14.1" customHeight="1">
      <c r="A257" s="140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9"/>
    </row>
    <row r="258" ht="14.1" customHeight="1">
      <c r="A258" s="140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9"/>
    </row>
    <row r="259" ht="14.1" customHeight="1">
      <c r="A259" s="140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9"/>
    </row>
    <row r="260" ht="14.1" customHeight="1">
      <c r="A260" s="140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9"/>
    </row>
    <row r="261" ht="14.1" customHeight="1">
      <c r="A261" s="140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9"/>
    </row>
    <row r="262" ht="14.1" customHeight="1">
      <c r="A262" s="140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9"/>
    </row>
    <row r="263" ht="14.1" customHeight="1">
      <c r="A263" s="140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9"/>
    </row>
    <row r="264" ht="14.1" customHeight="1">
      <c r="A264" s="140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9"/>
    </row>
    <row r="265" ht="14.1" customHeight="1">
      <c r="A265" s="140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9"/>
    </row>
    <row r="266" ht="14.1" customHeight="1">
      <c r="A266" s="140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9"/>
    </row>
    <row r="267" ht="14.1" customHeight="1">
      <c r="A267" s="140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9"/>
    </row>
    <row r="268" ht="14.1" customHeight="1">
      <c r="A268" s="140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9"/>
    </row>
    <row r="269" ht="14.1" customHeight="1">
      <c r="A269" s="140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9"/>
    </row>
    <row r="270" ht="14.1" customHeight="1">
      <c r="A270" s="140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9"/>
    </row>
    <row r="271" ht="14.1" customHeight="1">
      <c r="A271" s="140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9"/>
    </row>
    <row r="272" ht="14.1" customHeight="1">
      <c r="A272" s="140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9"/>
    </row>
    <row r="273" ht="14.1" customHeight="1">
      <c r="A273" s="140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9"/>
    </row>
    <row r="274" ht="14.1" customHeight="1">
      <c r="A274" s="140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9"/>
    </row>
    <row r="275" ht="14.1" customHeight="1">
      <c r="A275" s="140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9"/>
    </row>
    <row r="276" ht="14.1" customHeight="1">
      <c r="A276" s="140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9"/>
    </row>
    <row r="277" ht="14.1" customHeight="1">
      <c r="A277" s="140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9"/>
    </row>
    <row r="278" ht="14.1" customHeight="1">
      <c r="A278" s="140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9"/>
    </row>
    <row r="279" ht="14.1" customHeight="1">
      <c r="A279" s="140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9"/>
    </row>
    <row r="280" ht="14.1" customHeight="1">
      <c r="A280" s="140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9"/>
    </row>
    <row r="281" ht="14.1" customHeight="1">
      <c r="A281" s="140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9"/>
    </row>
    <row r="282" ht="14.1" customHeight="1">
      <c r="A282" s="140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9"/>
    </row>
    <row r="283" ht="14.1" customHeight="1">
      <c r="A283" s="140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9"/>
    </row>
    <row r="284" ht="14.1" customHeight="1">
      <c r="A284" s="140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9"/>
    </row>
    <row r="285" ht="14.1" customHeight="1">
      <c r="A285" s="140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9"/>
    </row>
    <row r="286" ht="14.1" customHeight="1">
      <c r="A286" s="140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9"/>
    </row>
    <row r="287" ht="14.1" customHeight="1">
      <c r="A287" s="140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9"/>
    </row>
    <row r="288" ht="14.1" customHeight="1">
      <c r="A288" s="140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9"/>
    </row>
    <row r="289" ht="14.1" customHeight="1">
      <c r="A289" s="140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9"/>
    </row>
    <row r="290" ht="14.1" customHeight="1">
      <c r="A290" s="140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9"/>
    </row>
    <row r="291" ht="14.1" customHeight="1">
      <c r="A291" s="140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9"/>
    </row>
    <row r="292" ht="14.1" customHeight="1">
      <c r="A292" s="140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9"/>
    </row>
    <row r="293" ht="14.1" customHeight="1">
      <c r="A293" s="140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9"/>
    </row>
    <row r="294" ht="14.1" customHeight="1">
      <c r="A294" s="140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9"/>
    </row>
    <row r="295" ht="14.1" customHeight="1">
      <c r="A295" s="140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9"/>
    </row>
    <row r="296" ht="14.1" customHeight="1">
      <c r="A296" s="140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9"/>
    </row>
    <row r="297" ht="14.1" customHeight="1">
      <c r="A297" s="140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9"/>
    </row>
    <row r="298" ht="14.1" customHeight="1">
      <c r="A298" s="140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9"/>
    </row>
    <row r="299" ht="14.1" customHeight="1">
      <c r="A299" s="140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9"/>
    </row>
    <row r="300" ht="14.1" customHeight="1">
      <c r="A300" s="140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9"/>
    </row>
    <row r="301" ht="14.1" customHeight="1">
      <c r="A301" s="140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9"/>
    </row>
    <row r="302" ht="14.1" customHeight="1">
      <c r="A302" s="140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9"/>
    </row>
    <row r="303" ht="14.1" customHeight="1">
      <c r="A303" s="140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9"/>
    </row>
    <row r="304" ht="14.1" customHeight="1">
      <c r="A304" s="140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9"/>
    </row>
    <row r="305" ht="14.1" customHeight="1">
      <c r="A305" s="140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9"/>
    </row>
    <row r="306" ht="14.1" customHeight="1">
      <c r="A306" s="140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9"/>
    </row>
    <row r="307" ht="14.1" customHeight="1">
      <c r="A307" s="140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9"/>
    </row>
    <row r="308" ht="14.1" customHeight="1">
      <c r="A308" s="140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9"/>
    </row>
    <row r="309" ht="14.1" customHeight="1">
      <c r="A309" s="140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9"/>
    </row>
    <row r="310" ht="14.1" customHeight="1">
      <c r="A310" s="140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9"/>
    </row>
    <row r="311" ht="14.1" customHeight="1">
      <c r="A311" s="140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9"/>
    </row>
    <row r="312" ht="14.1" customHeight="1">
      <c r="A312" s="140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9"/>
    </row>
    <row r="313" ht="14.1" customHeight="1">
      <c r="A313" s="140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9"/>
    </row>
    <row r="314" ht="14.1" customHeight="1">
      <c r="A314" s="140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9"/>
    </row>
    <row r="315" ht="14.1" customHeight="1">
      <c r="A315" s="140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9"/>
    </row>
    <row r="316" ht="14.1" customHeight="1">
      <c r="A316" s="140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9"/>
    </row>
    <row r="317" ht="14.1" customHeight="1">
      <c r="A317" s="140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9"/>
    </row>
    <row r="318" ht="14.1" customHeight="1">
      <c r="A318" s="140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9"/>
    </row>
    <row r="319" ht="14.1" customHeight="1">
      <c r="A319" s="140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9"/>
    </row>
    <row r="320" ht="14.1" customHeight="1">
      <c r="A320" s="140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9"/>
    </row>
    <row r="321" ht="14.1" customHeight="1">
      <c r="A321" s="140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9"/>
    </row>
    <row r="322" ht="14.1" customHeight="1">
      <c r="A322" s="140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9"/>
    </row>
    <row r="323" ht="14.1" customHeight="1">
      <c r="A323" s="140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9"/>
    </row>
    <row r="324" ht="14.1" customHeight="1">
      <c r="A324" s="140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9"/>
    </row>
    <row r="325" ht="14.1" customHeight="1">
      <c r="A325" s="140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9"/>
    </row>
    <row r="326" ht="14.1" customHeight="1">
      <c r="A326" s="140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9"/>
    </row>
    <row r="327" ht="14.1" customHeight="1">
      <c r="A327" s="140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9"/>
    </row>
    <row r="328" ht="14.1" customHeight="1">
      <c r="A328" s="140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9"/>
    </row>
    <row r="329" ht="14.1" customHeight="1">
      <c r="A329" s="140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9"/>
    </row>
    <row r="330" ht="14.1" customHeight="1">
      <c r="A330" s="140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9"/>
    </row>
    <row r="331" ht="14.1" customHeight="1">
      <c r="A331" s="140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9"/>
    </row>
    <row r="332" ht="14.1" customHeight="1">
      <c r="A332" s="140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9"/>
    </row>
    <row r="333" ht="14.1" customHeight="1">
      <c r="A333" s="140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9"/>
    </row>
    <row r="334" ht="14.1" customHeight="1">
      <c r="A334" s="140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9"/>
    </row>
    <row r="335" ht="14.1" customHeight="1">
      <c r="A335" s="140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9"/>
    </row>
    <row r="336" ht="14.1" customHeight="1">
      <c r="A336" s="140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9"/>
    </row>
    <row r="337" ht="14.1" customHeight="1">
      <c r="A337" s="140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9"/>
    </row>
    <row r="338" ht="14.1" customHeight="1">
      <c r="A338" s="140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9"/>
    </row>
    <row r="339" ht="14.1" customHeight="1">
      <c r="A339" s="140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9"/>
    </row>
    <row r="340" ht="14.1" customHeight="1">
      <c r="A340" s="140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9"/>
    </row>
    <row r="341" ht="14.1" customHeight="1">
      <c r="A341" s="140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9"/>
    </row>
    <row r="342" ht="14.1" customHeight="1">
      <c r="A342" s="140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9"/>
    </row>
    <row r="343" ht="14.1" customHeight="1">
      <c r="A343" s="140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9"/>
    </row>
    <row r="344" ht="14.1" customHeight="1">
      <c r="A344" s="140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9"/>
    </row>
    <row r="345" ht="14.1" customHeight="1">
      <c r="A345" s="140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9"/>
    </row>
    <row r="346" ht="14.1" customHeight="1">
      <c r="A346" s="140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9"/>
    </row>
    <row r="347" ht="14.1" customHeight="1">
      <c r="A347" s="140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9"/>
    </row>
    <row r="348" ht="14.1" customHeight="1">
      <c r="A348" s="140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9"/>
    </row>
    <row r="349" ht="14.1" customHeight="1">
      <c r="A349" s="140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9"/>
    </row>
    <row r="350" ht="14.1" customHeight="1">
      <c r="A350" s="140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9"/>
    </row>
    <row r="351" ht="14.1" customHeight="1">
      <c r="A351" s="140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9"/>
    </row>
    <row r="352" ht="14.1" customHeight="1">
      <c r="A352" s="140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9"/>
    </row>
    <row r="353" ht="14.1" customHeight="1">
      <c r="A353" s="140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9"/>
    </row>
    <row r="354" ht="14.1" customHeight="1">
      <c r="A354" s="140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9"/>
    </row>
    <row r="355" ht="14.1" customHeight="1">
      <c r="A355" s="140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9"/>
    </row>
    <row r="356" ht="14.1" customHeight="1">
      <c r="A356" s="140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9"/>
    </row>
    <row r="357" ht="14.1" customHeight="1">
      <c r="A357" s="140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9"/>
    </row>
    <row r="358" ht="14.1" customHeight="1">
      <c r="A358" s="140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9"/>
    </row>
    <row r="359" ht="14.1" customHeight="1">
      <c r="A359" s="140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9"/>
    </row>
    <row r="360" ht="14.1" customHeight="1">
      <c r="A360" s="140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9"/>
    </row>
    <row r="361" ht="14.1" customHeight="1">
      <c r="A361" s="140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9"/>
    </row>
    <row r="362" ht="14.1" customHeight="1">
      <c r="A362" s="140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9"/>
    </row>
    <row r="363" ht="14.1" customHeight="1">
      <c r="A363" s="140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9"/>
    </row>
    <row r="364" ht="14.1" customHeight="1">
      <c r="A364" s="140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9"/>
    </row>
    <row r="365" ht="14.1" customHeight="1">
      <c r="A365" s="140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9"/>
    </row>
    <row r="366" ht="14.1" customHeight="1">
      <c r="A366" s="140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9"/>
    </row>
    <row r="367" ht="14.1" customHeight="1">
      <c r="A367" s="140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9"/>
    </row>
    <row r="368" ht="14.1" customHeight="1">
      <c r="A368" s="140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9"/>
    </row>
    <row r="369" ht="14.1" customHeight="1">
      <c r="A369" s="140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9"/>
    </row>
    <row r="370" ht="14.1" customHeight="1">
      <c r="A370" s="140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9"/>
    </row>
    <row r="371" ht="14.1" customHeight="1">
      <c r="A371" s="140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9"/>
    </row>
    <row r="372" ht="14.1" customHeight="1">
      <c r="A372" s="140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9"/>
    </row>
    <row r="373" ht="14.1" customHeight="1">
      <c r="A373" s="140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9"/>
    </row>
    <row r="374" ht="14.1" customHeight="1">
      <c r="A374" s="140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9"/>
    </row>
    <row r="375" ht="14.1" customHeight="1">
      <c r="A375" s="140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9"/>
    </row>
    <row r="376" ht="14.1" customHeight="1">
      <c r="A376" s="140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9"/>
    </row>
    <row r="377" ht="14.1" customHeight="1">
      <c r="A377" s="140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9"/>
    </row>
    <row r="378" ht="14.1" customHeight="1">
      <c r="A378" s="140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9"/>
    </row>
    <row r="379" ht="14.1" customHeight="1">
      <c r="A379" s="140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9"/>
    </row>
    <row r="380" ht="14.1" customHeight="1">
      <c r="A380" s="140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9"/>
    </row>
    <row r="381" ht="14.1" customHeight="1">
      <c r="A381" s="140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9"/>
    </row>
    <row r="382" ht="14.1" customHeight="1">
      <c r="A382" s="140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9"/>
    </row>
    <row r="383" ht="14.1" customHeight="1">
      <c r="A383" s="140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9"/>
    </row>
    <row r="384" ht="14.1" customHeight="1">
      <c r="A384" s="140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9"/>
    </row>
    <row r="385" ht="14.1" customHeight="1">
      <c r="A385" s="140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9"/>
    </row>
    <row r="386" ht="14.1" customHeight="1">
      <c r="A386" s="140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9"/>
    </row>
    <row r="387" ht="14.1" customHeight="1">
      <c r="A387" s="140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9"/>
    </row>
    <row r="388" ht="14.1" customHeight="1">
      <c r="A388" s="140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9"/>
    </row>
    <row r="389" ht="14.1" customHeight="1">
      <c r="A389" s="140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9"/>
    </row>
    <row r="390" ht="14.1" customHeight="1">
      <c r="A390" s="140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9"/>
    </row>
    <row r="391" ht="14.1" customHeight="1">
      <c r="A391" s="140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9"/>
    </row>
    <row r="392" ht="14.1" customHeight="1">
      <c r="A392" s="140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9"/>
    </row>
    <row r="393" ht="14.1" customHeight="1">
      <c r="A393" s="140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9"/>
    </row>
    <row r="394" ht="14.1" customHeight="1">
      <c r="A394" s="140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9"/>
    </row>
    <row r="395" ht="14.1" customHeight="1">
      <c r="A395" s="140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9"/>
    </row>
    <row r="396" ht="14.1" customHeight="1">
      <c r="A396" s="140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9"/>
    </row>
    <row r="397" ht="14.1" customHeight="1">
      <c r="A397" s="140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9"/>
    </row>
    <row r="398" ht="14.1" customHeight="1">
      <c r="A398" s="140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9"/>
    </row>
    <row r="399" ht="14.1" customHeight="1">
      <c r="A399" s="140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9"/>
    </row>
    <row r="400" ht="14.1" customHeight="1">
      <c r="A400" s="140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9"/>
    </row>
    <row r="401" ht="14.1" customHeight="1">
      <c r="A401" s="140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9"/>
    </row>
    <row r="402" ht="14.1" customHeight="1">
      <c r="A402" s="140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9"/>
    </row>
    <row r="403" ht="14.1" customHeight="1">
      <c r="A403" s="140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9"/>
    </row>
    <row r="404" ht="14.1" customHeight="1">
      <c r="A404" s="140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9"/>
    </row>
    <row r="405" ht="14.1" customHeight="1">
      <c r="A405" s="140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9"/>
    </row>
    <row r="406" ht="14.1" customHeight="1">
      <c r="A406" s="140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9"/>
    </row>
    <row r="407" ht="14.1" customHeight="1">
      <c r="A407" s="140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9"/>
    </row>
    <row r="408" ht="14.1" customHeight="1">
      <c r="A408" s="140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9"/>
    </row>
    <row r="409" ht="14.1" customHeight="1">
      <c r="A409" s="140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9"/>
    </row>
    <row r="410" ht="14.1" customHeight="1">
      <c r="A410" s="140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9"/>
    </row>
    <row r="411" ht="14.1" customHeight="1">
      <c r="A411" s="140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9"/>
    </row>
    <row r="412" ht="14.1" customHeight="1">
      <c r="A412" s="140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9"/>
    </row>
    <row r="413" ht="14.1" customHeight="1">
      <c r="A413" s="140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9"/>
    </row>
    <row r="414" ht="14.1" customHeight="1">
      <c r="A414" s="140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9"/>
    </row>
    <row r="415" ht="14.1" customHeight="1">
      <c r="A415" s="140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9"/>
    </row>
    <row r="416" ht="14.1" customHeight="1">
      <c r="A416" s="140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9"/>
    </row>
    <row r="417" ht="14.1" customHeight="1">
      <c r="A417" s="140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9"/>
    </row>
    <row r="418" ht="14.1" customHeight="1">
      <c r="A418" s="140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9"/>
    </row>
    <row r="419" ht="14.1" customHeight="1">
      <c r="A419" s="140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9"/>
    </row>
    <row r="420" ht="14.1" customHeight="1">
      <c r="A420" s="140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9"/>
    </row>
    <row r="421" ht="14.1" customHeight="1">
      <c r="A421" s="140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9"/>
    </row>
    <row r="422" ht="14.1" customHeight="1">
      <c r="A422" s="140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9"/>
    </row>
    <row r="423" ht="14.1" customHeight="1">
      <c r="A423" s="140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9"/>
    </row>
    <row r="424" ht="14.1" customHeight="1">
      <c r="A424" s="140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9"/>
    </row>
    <row r="425" ht="14.1" customHeight="1">
      <c r="A425" s="140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9"/>
    </row>
    <row r="426" ht="14.1" customHeight="1">
      <c r="A426" s="140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9"/>
    </row>
    <row r="427" ht="14.1" customHeight="1">
      <c r="A427" s="140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9"/>
    </row>
    <row r="428" ht="14.1" customHeight="1">
      <c r="A428" s="140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9"/>
    </row>
    <row r="429" ht="14.1" customHeight="1">
      <c r="A429" s="140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9"/>
    </row>
    <row r="430" ht="14.1" customHeight="1">
      <c r="A430" s="140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9"/>
    </row>
    <row r="431" ht="14.1" customHeight="1">
      <c r="A431" s="140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9"/>
    </row>
    <row r="432" ht="14.1" customHeight="1">
      <c r="A432" s="140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9"/>
    </row>
    <row r="433" ht="14.1" customHeight="1">
      <c r="A433" s="140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9"/>
    </row>
    <row r="434" ht="14.1" customHeight="1">
      <c r="A434" s="140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9"/>
    </row>
    <row r="435" ht="14.1" customHeight="1">
      <c r="A435" s="140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9"/>
    </row>
    <row r="436" ht="14.1" customHeight="1">
      <c r="A436" s="140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9"/>
    </row>
    <row r="437" ht="14.1" customHeight="1">
      <c r="A437" s="140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9"/>
    </row>
    <row r="438" ht="14.1" customHeight="1">
      <c r="A438" s="140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9"/>
    </row>
    <row r="439" ht="14.1" customHeight="1">
      <c r="A439" s="140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9"/>
    </row>
    <row r="440" ht="14.1" customHeight="1">
      <c r="A440" s="140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9"/>
    </row>
    <row r="441" ht="14.1" customHeight="1">
      <c r="A441" s="140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9"/>
    </row>
    <row r="442" ht="14.1" customHeight="1">
      <c r="A442" s="140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9"/>
    </row>
    <row r="443" ht="14.1" customHeight="1">
      <c r="A443" s="140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9"/>
    </row>
    <row r="444" ht="14.1" customHeight="1">
      <c r="A444" s="140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9"/>
    </row>
    <row r="445" ht="14.1" customHeight="1">
      <c r="A445" s="140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9"/>
    </row>
    <row r="446" ht="14.1" customHeight="1">
      <c r="A446" s="140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9"/>
    </row>
    <row r="447" ht="14.1" customHeight="1">
      <c r="A447" s="140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9"/>
    </row>
    <row r="448" ht="14.1" customHeight="1">
      <c r="A448" s="140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9"/>
    </row>
    <row r="449" ht="14.1" customHeight="1">
      <c r="A449" s="140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9"/>
    </row>
    <row r="450" ht="14.1" customHeight="1">
      <c r="A450" s="140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9"/>
    </row>
    <row r="451" ht="14.1" customHeight="1">
      <c r="A451" s="140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9"/>
    </row>
    <row r="452" ht="14.1" customHeight="1">
      <c r="A452" s="140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9"/>
    </row>
    <row r="453" ht="14.1" customHeight="1">
      <c r="A453" s="140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9"/>
    </row>
    <row r="454" ht="14.1" customHeight="1">
      <c r="A454" s="140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9"/>
    </row>
    <row r="455" ht="14.1" customHeight="1">
      <c r="A455" s="140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9"/>
    </row>
    <row r="456" ht="14.1" customHeight="1">
      <c r="A456" s="140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9"/>
    </row>
    <row r="457" ht="14.1" customHeight="1">
      <c r="A457" s="140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9"/>
    </row>
    <row r="458" ht="14.1" customHeight="1">
      <c r="A458" s="140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9"/>
    </row>
    <row r="459" ht="14.1" customHeight="1">
      <c r="A459" s="140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9"/>
    </row>
    <row r="460" ht="14.1" customHeight="1">
      <c r="A460" s="140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9"/>
    </row>
    <row r="461" ht="14.1" customHeight="1">
      <c r="A461" s="140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9"/>
    </row>
    <row r="462" ht="14.1" customHeight="1">
      <c r="A462" s="140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9"/>
    </row>
    <row r="463" ht="14.1" customHeight="1">
      <c r="A463" s="140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9"/>
    </row>
    <row r="464" ht="14.1" customHeight="1">
      <c r="A464" s="140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9"/>
    </row>
    <row r="465" ht="14.1" customHeight="1">
      <c r="A465" s="140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9"/>
    </row>
    <row r="466" ht="14.1" customHeight="1">
      <c r="A466" s="140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9"/>
    </row>
    <row r="467" ht="14.1" customHeight="1">
      <c r="A467" s="140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9"/>
    </row>
    <row r="468" ht="14.1" customHeight="1">
      <c r="A468" s="140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9"/>
    </row>
    <row r="469" ht="14.1" customHeight="1">
      <c r="A469" s="140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9"/>
    </row>
    <row r="470" ht="14.1" customHeight="1">
      <c r="A470" s="140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9"/>
    </row>
    <row r="471" ht="14.1" customHeight="1">
      <c r="A471" s="140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9"/>
    </row>
    <row r="472" ht="14.1" customHeight="1">
      <c r="A472" s="140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9"/>
    </row>
    <row r="473" ht="14.1" customHeight="1">
      <c r="A473" s="140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9"/>
    </row>
    <row r="474" ht="14.1" customHeight="1">
      <c r="A474" s="140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9"/>
    </row>
    <row r="475" ht="14.1" customHeight="1">
      <c r="A475" s="140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9"/>
    </row>
    <row r="476" ht="14.1" customHeight="1">
      <c r="A476" s="140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9"/>
    </row>
    <row r="477" ht="14.1" customHeight="1">
      <c r="A477" s="140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9"/>
    </row>
    <row r="478" ht="14.1" customHeight="1">
      <c r="A478" s="140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9"/>
    </row>
    <row r="479" ht="14.1" customHeight="1">
      <c r="A479" s="140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9"/>
    </row>
    <row r="480" ht="14.1" customHeight="1">
      <c r="A480" s="140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9"/>
    </row>
    <row r="481" ht="14.1" customHeight="1">
      <c r="A481" s="140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9"/>
    </row>
    <row r="482" ht="14.1" customHeight="1">
      <c r="A482" s="140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9"/>
    </row>
    <row r="483" ht="14.1" customHeight="1">
      <c r="A483" s="140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9"/>
    </row>
    <row r="484" ht="14.1" customHeight="1">
      <c r="A484" s="140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9"/>
    </row>
    <row r="485" ht="14.1" customHeight="1">
      <c r="A485" s="140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9"/>
    </row>
    <row r="486" ht="14.1" customHeight="1">
      <c r="A486" s="140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9"/>
    </row>
    <row r="487" ht="14.1" customHeight="1">
      <c r="A487" s="140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9"/>
    </row>
    <row r="488" ht="14.1" customHeight="1">
      <c r="A488" s="140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9"/>
    </row>
    <row r="489" ht="14.1" customHeight="1">
      <c r="A489" s="140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9"/>
    </row>
    <row r="490" ht="14.1" customHeight="1">
      <c r="A490" s="140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9"/>
    </row>
    <row r="491" ht="14.1" customHeight="1">
      <c r="A491" s="140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9"/>
    </row>
    <row r="492" ht="14.1" customHeight="1">
      <c r="A492" s="140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9"/>
    </row>
    <row r="493" ht="14.1" customHeight="1">
      <c r="A493" s="140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9"/>
    </row>
    <row r="494" ht="14.1" customHeight="1">
      <c r="A494" s="140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9"/>
    </row>
    <row r="495" ht="14.1" customHeight="1">
      <c r="A495" s="140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9"/>
    </row>
    <row r="496" ht="14.1" customHeight="1">
      <c r="A496" s="140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9"/>
    </row>
    <row r="497" ht="14.1" customHeight="1">
      <c r="A497" s="140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9"/>
    </row>
    <row r="498" ht="14.1" customHeight="1">
      <c r="A498" s="140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9"/>
    </row>
    <row r="499" ht="14.1" customHeight="1">
      <c r="A499" s="140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9"/>
    </row>
    <row r="500" ht="14.1" customHeight="1">
      <c r="A500" s="140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9"/>
    </row>
    <row r="501" ht="14.1" customHeight="1">
      <c r="A501" s="140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9"/>
    </row>
    <row r="502" ht="14.1" customHeight="1">
      <c r="A502" s="140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9"/>
    </row>
    <row r="503" ht="14.1" customHeight="1">
      <c r="A503" s="140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9"/>
    </row>
    <row r="504" ht="14.1" customHeight="1">
      <c r="A504" s="140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9"/>
    </row>
    <row r="505" ht="14.1" customHeight="1">
      <c r="A505" s="140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9"/>
    </row>
    <row r="506" ht="14.1" customHeight="1">
      <c r="A506" s="140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9"/>
    </row>
    <row r="507" ht="14.1" customHeight="1">
      <c r="A507" s="140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9"/>
    </row>
    <row r="508" ht="14.1" customHeight="1">
      <c r="A508" s="140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9"/>
    </row>
    <row r="509" ht="14.1" customHeight="1">
      <c r="A509" s="140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9"/>
    </row>
    <row r="510" ht="14.1" customHeight="1">
      <c r="A510" s="140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9"/>
    </row>
    <row r="511" ht="14.1" customHeight="1">
      <c r="A511" s="140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9"/>
    </row>
    <row r="512" ht="14.1" customHeight="1">
      <c r="A512" s="140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9"/>
    </row>
    <row r="513" ht="14.1" customHeight="1">
      <c r="A513" s="140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9"/>
    </row>
    <row r="514" ht="14.1" customHeight="1">
      <c r="A514" s="140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9"/>
    </row>
    <row r="515" ht="14.1" customHeight="1">
      <c r="A515" s="140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9"/>
    </row>
    <row r="516" ht="14.1" customHeight="1">
      <c r="A516" s="140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9"/>
    </row>
    <row r="517" ht="14.1" customHeight="1">
      <c r="A517" s="140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9"/>
    </row>
    <row r="518" ht="14.1" customHeight="1">
      <c r="A518" s="140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9"/>
    </row>
    <row r="519" ht="14.1" customHeight="1">
      <c r="A519" s="140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9"/>
    </row>
    <row r="520" ht="14.1" customHeight="1">
      <c r="A520" s="140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9"/>
    </row>
    <row r="521" ht="14.1" customHeight="1">
      <c r="A521" s="140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9"/>
    </row>
    <row r="522" ht="14.1" customHeight="1">
      <c r="A522" s="140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9"/>
    </row>
    <row r="523" ht="14.1" customHeight="1">
      <c r="A523" s="140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9"/>
    </row>
    <row r="524" ht="14.1" customHeight="1">
      <c r="A524" s="140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9"/>
    </row>
    <row r="525" ht="14.1" customHeight="1">
      <c r="A525" s="140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9"/>
    </row>
    <row r="526" ht="14.1" customHeight="1">
      <c r="A526" s="140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9"/>
    </row>
    <row r="527" ht="14.1" customHeight="1">
      <c r="A527" s="140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9"/>
    </row>
    <row r="528" ht="14.1" customHeight="1">
      <c r="A528" s="140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9"/>
    </row>
    <row r="529" ht="14.1" customHeight="1">
      <c r="A529" s="140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9"/>
    </row>
    <row r="530" ht="14.1" customHeight="1">
      <c r="A530" s="140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9"/>
    </row>
    <row r="531" ht="14.1" customHeight="1">
      <c r="A531" s="140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9"/>
    </row>
    <row r="532" ht="14.1" customHeight="1">
      <c r="A532" s="140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9"/>
    </row>
    <row r="533" ht="14.1" customHeight="1">
      <c r="A533" s="140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9"/>
    </row>
    <row r="534" ht="14.1" customHeight="1">
      <c r="A534" s="140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9"/>
    </row>
    <row r="535" ht="14.1" customHeight="1">
      <c r="A535" s="140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9"/>
    </row>
    <row r="536" ht="14.1" customHeight="1">
      <c r="A536" s="140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9"/>
    </row>
    <row r="537" ht="14.1" customHeight="1">
      <c r="A537" s="140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9"/>
    </row>
    <row r="538" ht="14.1" customHeight="1">
      <c r="A538" s="140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9"/>
    </row>
    <row r="539" ht="14.1" customHeight="1">
      <c r="A539" s="140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9"/>
    </row>
    <row r="540" ht="14.1" customHeight="1">
      <c r="A540" s="140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9"/>
    </row>
    <row r="541" ht="14.1" customHeight="1">
      <c r="A541" s="140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9"/>
    </row>
    <row r="542" ht="14.1" customHeight="1">
      <c r="A542" s="140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9"/>
    </row>
    <row r="543" ht="14.1" customHeight="1">
      <c r="A543" s="140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9"/>
    </row>
    <row r="544" ht="14.1" customHeight="1">
      <c r="A544" s="140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9"/>
    </row>
    <row r="545" ht="14.1" customHeight="1">
      <c r="A545" s="140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9"/>
    </row>
    <row r="546" ht="14.1" customHeight="1">
      <c r="A546" s="140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9"/>
    </row>
    <row r="547" ht="14.1" customHeight="1">
      <c r="A547" s="140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9"/>
    </row>
    <row r="548" ht="14.1" customHeight="1">
      <c r="A548" s="140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9"/>
    </row>
    <row r="549" ht="14.1" customHeight="1">
      <c r="A549" s="140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9"/>
    </row>
    <row r="550" ht="14.1" customHeight="1">
      <c r="A550" s="140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9"/>
    </row>
    <row r="551" ht="14.1" customHeight="1">
      <c r="A551" s="140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9"/>
    </row>
    <row r="552" ht="14.1" customHeight="1">
      <c r="A552" s="140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9"/>
    </row>
    <row r="553" ht="14.1" customHeight="1">
      <c r="A553" s="140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9"/>
    </row>
    <row r="554" ht="14.1" customHeight="1">
      <c r="A554" s="140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9"/>
    </row>
    <row r="555" ht="14.1" customHeight="1">
      <c r="A555" s="140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9"/>
    </row>
    <row r="556" ht="14.1" customHeight="1">
      <c r="A556" s="140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9"/>
    </row>
    <row r="557" ht="14.1" customHeight="1">
      <c r="A557" s="140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9"/>
    </row>
    <row r="558" ht="14.1" customHeight="1">
      <c r="A558" s="140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9"/>
    </row>
    <row r="559" ht="14.1" customHeight="1">
      <c r="A559" s="140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9"/>
    </row>
    <row r="560" ht="14.1" customHeight="1">
      <c r="A560" s="140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9"/>
    </row>
    <row r="561" ht="14.1" customHeight="1">
      <c r="A561" s="140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9"/>
    </row>
    <row r="562" ht="14.1" customHeight="1">
      <c r="A562" s="140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9"/>
    </row>
    <row r="563" ht="14.1" customHeight="1">
      <c r="A563" s="140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9"/>
    </row>
    <row r="564" ht="14.1" customHeight="1">
      <c r="A564" s="140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9"/>
    </row>
    <row r="565" ht="14.1" customHeight="1">
      <c r="A565" s="140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9"/>
    </row>
    <row r="566" ht="14.1" customHeight="1">
      <c r="A566" s="140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9"/>
    </row>
    <row r="567" ht="14.1" customHeight="1">
      <c r="A567" s="140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9"/>
    </row>
    <row r="568" ht="14.1" customHeight="1">
      <c r="A568" s="140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9"/>
    </row>
    <row r="569" ht="14.1" customHeight="1">
      <c r="A569" s="140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9"/>
    </row>
    <row r="570" ht="14.1" customHeight="1">
      <c r="A570" s="140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9"/>
    </row>
    <row r="571" ht="14.1" customHeight="1">
      <c r="A571" s="140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9"/>
    </row>
    <row r="572" ht="14.1" customHeight="1">
      <c r="A572" s="140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9"/>
    </row>
    <row r="573" ht="14.1" customHeight="1">
      <c r="A573" s="140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9"/>
    </row>
    <row r="574" ht="14.1" customHeight="1">
      <c r="A574" s="140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9"/>
    </row>
    <row r="575" ht="14.1" customHeight="1">
      <c r="A575" s="140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9"/>
    </row>
    <row r="576" ht="14.1" customHeight="1">
      <c r="A576" s="140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9"/>
    </row>
    <row r="577" ht="14.1" customHeight="1">
      <c r="A577" s="140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9"/>
    </row>
    <row r="578" ht="14.1" customHeight="1">
      <c r="A578" s="140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9"/>
    </row>
    <row r="579" ht="14.1" customHeight="1">
      <c r="A579" s="140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9"/>
    </row>
    <row r="580" ht="14.1" customHeight="1">
      <c r="A580" s="140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9"/>
    </row>
    <row r="581" ht="14.1" customHeight="1">
      <c r="A581" s="140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9"/>
    </row>
    <row r="582" ht="14.1" customHeight="1">
      <c r="A582" s="140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9"/>
    </row>
    <row r="583" ht="14.1" customHeight="1">
      <c r="A583" s="140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9"/>
    </row>
    <row r="584" ht="14.1" customHeight="1">
      <c r="A584" s="140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9"/>
    </row>
    <row r="585" ht="14.1" customHeight="1">
      <c r="A585" s="140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9"/>
    </row>
    <row r="586" ht="14.1" customHeight="1">
      <c r="A586" s="140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9"/>
    </row>
    <row r="587" ht="14.1" customHeight="1">
      <c r="A587" s="140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9"/>
    </row>
    <row r="588" ht="14.1" customHeight="1">
      <c r="A588" s="140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9"/>
    </row>
    <row r="589" ht="14.1" customHeight="1">
      <c r="A589" s="140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9"/>
    </row>
    <row r="590" ht="14.1" customHeight="1">
      <c r="A590" s="140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9"/>
    </row>
    <row r="591" ht="14.1" customHeight="1">
      <c r="A591" s="140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9"/>
    </row>
    <row r="592" ht="14.1" customHeight="1">
      <c r="A592" s="140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9"/>
    </row>
    <row r="593" ht="14.1" customHeight="1">
      <c r="A593" s="140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9"/>
    </row>
    <row r="594" ht="14.1" customHeight="1">
      <c r="A594" s="140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9"/>
    </row>
    <row r="595" ht="14.1" customHeight="1">
      <c r="A595" s="140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9"/>
    </row>
    <row r="596" ht="14.1" customHeight="1">
      <c r="A596" s="140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9"/>
    </row>
    <row r="597" ht="14.1" customHeight="1">
      <c r="A597" s="140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9"/>
    </row>
    <row r="598" ht="14.1" customHeight="1">
      <c r="A598" s="140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9"/>
    </row>
    <row r="599" ht="14.1" customHeight="1">
      <c r="A599" s="140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9"/>
    </row>
    <row r="600" ht="14.1" customHeight="1">
      <c r="A600" s="140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9"/>
    </row>
    <row r="601" ht="14.1" customHeight="1">
      <c r="A601" s="140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9"/>
    </row>
    <row r="602" ht="14.1" customHeight="1">
      <c r="A602" s="140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9"/>
    </row>
    <row r="603" ht="14.1" customHeight="1">
      <c r="A603" s="140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9"/>
    </row>
    <row r="604" ht="14.1" customHeight="1">
      <c r="A604" s="140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9"/>
    </row>
    <row r="605" ht="14.1" customHeight="1">
      <c r="A605" s="140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9"/>
    </row>
    <row r="606" ht="14.1" customHeight="1">
      <c r="A606" s="140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9"/>
    </row>
    <row r="607" ht="14.1" customHeight="1">
      <c r="A607" s="140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9"/>
    </row>
    <row r="608" ht="14.1" customHeight="1">
      <c r="A608" s="140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9"/>
    </row>
    <row r="609" ht="14.1" customHeight="1">
      <c r="A609" s="140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9"/>
    </row>
    <row r="610" ht="14.1" customHeight="1">
      <c r="A610" s="140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9"/>
    </row>
    <row r="611" ht="14.1" customHeight="1">
      <c r="A611" s="140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9"/>
    </row>
    <row r="612" ht="14.1" customHeight="1">
      <c r="A612" s="140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9"/>
    </row>
    <row r="613" ht="14.1" customHeight="1">
      <c r="A613" s="140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9"/>
    </row>
    <row r="614" ht="14.1" customHeight="1">
      <c r="A614" s="140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9"/>
    </row>
    <row r="615" ht="14.1" customHeight="1">
      <c r="A615" s="140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9"/>
    </row>
    <row r="616" ht="14.1" customHeight="1">
      <c r="A616" s="140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9"/>
    </row>
    <row r="617" ht="14.1" customHeight="1">
      <c r="A617" s="140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9"/>
    </row>
    <row r="618" ht="14.1" customHeight="1">
      <c r="A618" s="140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9"/>
    </row>
    <row r="619" ht="14.1" customHeight="1">
      <c r="A619" s="140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9"/>
    </row>
    <row r="620" ht="14.1" customHeight="1">
      <c r="A620" s="140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9"/>
    </row>
    <row r="621" ht="14.1" customHeight="1">
      <c r="A621" s="140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9"/>
    </row>
    <row r="622" ht="14.1" customHeight="1">
      <c r="A622" s="140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9"/>
    </row>
    <row r="623" ht="14.1" customHeight="1">
      <c r="A623" s="140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9"/>
    </row>
    <row r="624" ht="14.1" customHeight="1">
      <c r="A624" s="140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9"/>
    </row>
    <row r="625" ht="14.1" customHeight="1">
      <c r="A625" s="140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9"/>
    </row>
    <row r="626" ht="14.1" customHeight="1">
      <c r="A626" s="140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9"/>
    </row>
    <row r="627" ht="14.1" customHeight="1">
      <c r="A627" s="140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9"/>
    </row>
    <row r="628" ht="14.1" customHeight="1">
      <c r="A628" s="140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9"/>
    </row>
    <row r="629" ht="14.1" customHeight="1">
      <c r="A629" s="140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9"/>
    </row>
    <row r="630" ht="14.1" customHeight="1">
      <c r="A630" s="140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9"/>
    </row>
    <row r="631" ht="14.1" customHeight="1">
      <c r="A631" s="140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9"/>
    </row>
    <row r="632" ht="14.1" customHeight="1">
      <c r="A632" s="140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9"/>
    </row>
    <row r="633" ht="14.1" customHeight="1">
      <c r="A633" s="140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9"/>
    </row>
    <row r="634" ht="14.1" customHeight="1">
      <c r="A634" s="140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9"/>
    </row>
    <row r="635" ht="14.1" customHeight="1">
      <c r="A635" s="140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9"/>
    </row>
    <row r="636" ht="14.1" customHeight="1">
      <c r="A636" s="140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9"/>
    </row>
    <row r="637" ht="14.1" customHeight="1">
      <c r="A637" s="140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9"/>
    </row>
    <row r="638" ht="14.1" customHeight="1">
      <c r="A638" s="140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9"/>
    </row>
    <row r="639" ht="14.1" customHeight="1">
      <c r="A639" s="140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9"/>
    </row>
    <row r="640" ht="14.1" customHeight="1">
      <c r="A640" s="140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9"/>
    </row>
    <row r="641" ht="14.1" customHeight="1">
      <c r="A641" s="140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9"/>
    </row>
    <row r="642" ht="14.1" customHeight="1">
      <c r="A642" s="140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9"/>
    </row>
    <row r="643" ht="14.1" customHeight="1">
      <c r="A643" s="140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9"/>
    </row>
    <row r="644" ht="14.1" customHeight="1">
      <c r="A644" s="140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9"/>
    </row>
    <row r="645" ht="14.1" customHeight="1">
      <c r="A645" s="140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9"/>
    </row>
    <row r="646" ht="14.1" customHeight="1">
      <c r="A646" s="140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9"/>
    </row>
    <row r="647" ht="14.1" customHeight="1">
      <c r="A647" s="140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9"/>
    </row>
    <row r="648" ht="14.1" customHeight="1">
      <c r="A648" s="140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9"/>
    </row>
    <row r="649" ht="14.1" customHeight="1">
      <c r="A649" s="140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9"/>
    </row>
    <row r="650" ht="14.1" customHeight="1">
      <c r="A650" s="140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9"/>
    </row>
    <row r="651" ht="14.1" customHeight="1">
      <c r="A651" s="140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9"/>
    </row>
    <row r="652" ht="14.1" customHeight="1">
      <c r="A652" s="140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9"/>
    </row>
    <row r="653" ht="14.1" customHeight="1">
      <c r="A653" s="140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9"/>
    </row>
    <row r="654" ht="14.1" customHeight="1">
      <c r="A654" s="140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9"/>
    </row>
    <row r="655" ht="14.1" customHeight="1">
      <c r="A655" s="140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9"/>
    </row>
    <row r="656" ht="14.1" customHeight="1">
      <c r="A656" s="140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9"/>
    </row>
    <row r="657" ht="14.1" customHeight="1">
      <c r="A657" s="140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9"/>
    </row>
    <row r="658" ht="14.1" customHeight="1">
      <c r="A658" s="140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9"/>
    </row>
    <row r="659" ht="14.1" customHeight="1">
      <c r="A659" s="140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9"/>
    </row>
    <row r="660" ht="14.1" customHeight="1">
      <c r="A660" s="140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9"/>
    </row>
    <row r="661" ht="14.1" customHeight="1">
      <c r="A661" s="140"/>
      <c r="B661" s="131"/>
      <c r="C661" s="131"/>
      <c r="D661" s="131"/>
      <c r="E661" s="131"/>
      <c r="F661" s="131"/>
      <c r="G661" s="131"/>
      <c r="H661" s="141"/>
      <c r="I661" s="141"/>
      <c r="J661" s="141"/>
      <c r="K661" s="141"/>
      <c r="L661" s="131"/>
      <c r="M661" s="131"/>
      <c r="N661" s="19"/>
    </row>
    <row r="662" ht="14.1" customHeight="1">
      <c r="A662" s="142"/>
      <c r="B662" s="143"/>
      <c r="C662" s="143"/>
      <c r="D662" s="143"/>
      <c r="E662" s="143"/>
      <c r="F662" s="143"/>
      <c r="G662" s="143"/>
      <c r="H662" s="144"/>
      <c r="I662" s="144"/>
      <c r="J662" s="144"/>
      <c r="K662" s="144"/>
      <c r="L662" s="143"/>
      <c r="M662" s="143"/>
      <c r="N662" s="145"/>
    </row>
  </sheetData>
  <mergeCells count="68">
    <mergeCell ref="B28:D28"/>
    <mergeCell ref="A44:G44"/>
    <mergeCell ref="A47:E47"/>
    <mergeCell ref="H35:I35"/>
    <mergeCell ref="B30:G30"/>
    <mergeCell ref="H34:L34"/>
    <mergeCell ref="H31:K31"/>
    <mergeCell ref="H33:K33"/>
    <mergeCell ref="H32:K32"/>
    <mergeCell ref="B29:D29"/>
    <mergeCell ref="H30:K30"/>
    <mergeCell ref="H36:I36"/>
    <mergeCell ref="A55:G55"/>
    <mergeCell ref="H42:L42"/>
    <mergeCell ref="A43:G43"/>
    <mergeCell ref="J35:K35"/>
    <mergeCell ref="H38:K38"/>
    <mergeCell ref="H45:L49"/>
    <mergeCell ref="H41:K41"/>
    <mergeCell ref="H51:L55"/>
    <mergeCell ref="A54:G54"/>
    <mergeCell ref="A52:G52"/>
    <mergeCell ref="A50:G50"/>
    <mergeCell ref="A51:G51"/>
    <mergeCell ref="F53:G53"/>
    <mergeCell ref="B42:G42"/>
    <mergeCell ref="A53:E53"/>
    <mergeCell ref="F49:G49"/>
    <mergeCell ref="K2:L2"/>
    <mergeCell ref="H50:L50"/>
    <mergeCell ref="B19:D19"/>
    <mergeCell ref="I5:I6"/>
    <mergeCell ref="C7:L7"/>
    <mergeCell ref="A9:D9"/>
    <mergeCell ref="B3:L3"/>
    <mergeCell ref="A8:D8"/>
    <mergeCell ref="B15:D15"/>
    <mergeCell ref="H40:K40"/>
    <mergeCell ref="J39:K39"/>
    <mergeCell ref="F47:G47"/>
    <mergeCell ref="J37:K37"/>
    <mergeCell ref="J36:K36"/>
    <mergeCell ref="B24:D24"/>
    <mergeCell ref="A46:G46"/>
    <mergeCell ref="B22:D22"/>
    <mergeCell ref="G20:K21"/>
    <mergeCell ref="B18:D18"/>
    <mergeCell ref="B27:D27"/>
    <mergeCell ref="B16:D16"/>
    <mergeCell ref="B26:D26"/>
    <mergeCell ref="B23:D23"/>
    <mergeCell ref="B25:D25"/>
    <mergeCell ref="K5:K6"/>
    <mergeCell ref="B20:D21"/>
    <mergeCell ref="K1:L1"/>
    <mergeCell ref="I4:L4"/>
    <mergeCell ref="B17:D17"/>
    <mergeCell ref="A13:D13"/>
    <mergeCell ref="A14:D14"/>
    <mergeCell ref="C4:G4"/>
    <mergeCell ref="L5:L6"/>
    <mergeCell ref="A11:D11"/>
    <mergeCell ref="A12:D12"/>
    <mergeCell ref="A5:B6"/>
    <mergeCell ref="C5:H5"/>
    <mergeCell ref="C6:H6"/>
    <mergeCell ref="A10:D10"/>
    <mergeCell ref="J5:J6"/>
  </mergeCells>
  <conditionalFormatting sqref="E15:L15 L16:L30 M23:M24 L32 L39:L41">
    <cfRule type="cellIs" dxfId="0" priority="1" operator="lessThan" stopIfTrue="1">
      <formula>0</formula>
    </cfRule>
  </conditionalFormatting>
  <pageMargins left="0" right="0" top="0" bottom="0" header="0" footer="0"/>
  <pageSetup firstPageNumber="1" fitToHeight="1" fitToWidth="1" scale="7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